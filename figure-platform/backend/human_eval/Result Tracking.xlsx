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mpt Comparison" sheetId="2" r:id="rId6"/>
    <sheet state="visible" name="Model Comparison" sheetId="3" r:id="rId7"/>
    <sheet state="visible" name="Data" sheetId="4" r:id="rId8"/>
  </sheets>
  <definedNames>
    <definedName hidden="1" localSheetId="2" name="_xlnm._FilterDatabase">'Model Comparison'!$B$1:$B$564</definedName>
  </definedNames>
  <calcPr/>
</workbook>
</file>

<file path=xl/sharedStrings.xml><?xml version="1.0" encoding="utf-8"?>
<sst xmlns="http://schemas.openxmlformats.org/spreadsheetml/2006/main" count="676" uniqueCount="173">
  <si>
    <t>Selection A</t>
  </si>
  <si>
    <t>Selection B</t>
  </si>
  <si>
    <t>Selection C</t>
  </si>
  <si>
    <t>Model</t>
  </si>
  <si>
    <t>claude-opus-4.6, gemini-3.1-pro, gpt-5.1-codex-with-base-code</t>
  </si>
  <si>
    <t>claude-opus-4.6</t>
  </si>
  <si>
    <t>Prompt</t>
  </si>
  <si>
    <t>with_reqs</t>
  </si>
  <si>
    <t>with_qmd</t>
  </si>
  <si>
    <t>Figure</t>
  </si>
  <si>
    <t>imaging/no_picture_on_a_wall_aina</t>
  </si>
  <si>
    <t>homographies/homography_plane_geometry2</t>
  </si>
  <si>
    <t>imaging/brdf</t>
  </si>
  <si>
    <t>Overall Generation Quality</t>
  </si>
  <si>
    <t>Average Geometry Accuracy</t>
  </si>
  <si>
    <t>Average Interactivity &amp; Usability</t>
  </si>
  <si>
    <t>Average Faithfulness to Source</t>
  </si>
  <si>
    <t>Average Label Quality</t>
  </si>
  <si>
    <t>Average Concept Accuracy</t>
  </si>
  <si>
    <t>Average Visual Aesthetics</t>
  </si>
  <si>
    <t>Top 3 Failure Types</t>
  </si>
  <si>
    <t>Model Selection</t>
  </si>
  <si>
    <t>gemini-3.1-pro, claude-opus-4.6, gpt-4.1-with-base-code, gpt-4.1, gpt-5.2-codex, gpt-5.2-codex-with-base-code, gpt-5.1-codex, gpt-5.1-codex-with-base-code, claude-opus-4.6-with-base-code, gemini-3.1-pro-with-base-code, gpt-5.3-codex, gpt-4o</t>
  </si>
  <si>
    <t>Prompt Selection</t>
  </si>
  <si>
    <t>limit_qmd, one_line, with_reqs</t>
  </si>
  <si>
    <t>Week</t>
  </si>
  <si>
    <t>Geometry Accuracy</t>
  </si>
  <si>
    <t>Interactivity &amp; Usability</t>
  </si>
  <si>
    <t>Faithfulness to Figure Image</t>
  </si>
  <si>
    <t>Label Quality</t>
  </si>
  <si>
    <t>Concept Accuracy</t>
  </si>
  <si>
    <t>Failure Types</t>
  </si>
  <si>
    <t>Notes</t>
  </si>
  <si>
    <t xml:space="preserve">Reason for failure </t>
  </si>
  <si>
    <t>one_line</t>
  </si>
  <si>
    <t>Hallucination, Original-Mismatch</t>
  </si>
  <si>
    <t>homographies/example_homography</t>
  </si>
  <si>
    <t>Hallucination</t>
  </si>
  <si>
    <t>Missing-Labels, Interaction-OOB</t>
  </si>
  <si>
    <t>imaging/orthogonal_projection</t>
  </si>
  <si>
    <t>Hallucination, Original-Mismatch, Concept-Misunderstanding</t>
  </si>
  <si>
    <t>imaging/pinhole_geometry2</t>
  </si>
  <si>
    <t>imaging/pinhole_names2</t>
  </si>
  <si>
    <t>Interaction-OOB, Original-Mismatch, Hallucination, Concept-Misunderstanding</t>
  </si>
  <si>
    <t>homographies/rotation_homography_vs3</t>
  </si>
  <si>
    <t>Interaction-OOB, Hallucination, Concept-Misunderstanding</t>
  </si>
  <si>
    <t>imaging/similar_triangles2</t>
  </si>
  <si>
    <t>Hallucination, Concept-Misunderstanding, Original-Mismatch, Missing-Labels</t>
  </si>
  <si>
    <t>gemini-3.1-pro</t>
  </si>
  <si>
    <t>Concept-Misunderstanding, Bad-Labels</t>
  </si>
  <si>
    <t>Rendering-Failure</t>
  </si>
  <si>
    <t>Uncaught TypeError: Failed to resolve module specifier "three". Relative references must start with either "/", "./", or "../".</t>
  </si>
  <si>
    <t>Interaction-Missing</t>
  </si>
  <si>
    <t>Missing-Labels</t>
  </si>
  <si>
    <t>Bad-3D, Concept-Misunderstanding, Hallucination, Interaction-Broken</t>
  </si>
  <si>
    <t>Missing-Labels, Interaction-OOB, Hallucination</t>
  </si>
  <si>
    <t>gpt-4.1-with-base-code</t>
  </si>
  <si>
    <t>Missing-Labels, Bad-Labels, Concept-Misunderstanding</t>
  </si>
  <si>
    <t>Missing-Labels, Bad-3D, Interaction-Broken, Concept-Misunderstanding</t>
  </si>
  <si>
    <t>Bad-3D, Concept-Misunderstanding, Interaction-Missing</t>
  </si>
  <si>
    <t>Bad-3D, Missing-Labels, Interaction-Missing, Original-Mismatch, Concept-Misunderstanding</t>
  </si>
  <si>
    <t>Uncaught TypeError: (intermediate value).setPosition is not a function
    at makeLabel (pinhole_geometry2.html:160:41)
    at pinhole_geometry2.html:162:19</t>
  </si>
  <si>
    <t>Bad-3D, Missing-Labels, Interaction-Missing, Concept-Misunderstanding</t>
  </si>
  <si>
    <t>Bad-3D, Missing-Labels, Concept-Misunderstanding, Interaction-Missing</t>
  </si>
  <si>
    <t>Bad-3D, Missing-Labels, Concept-Misunderstanding, Hallucination, Original-Mismatch, Interaction-Missing</t>
  </si>
  <si>
    <t>gpt-4.1</t>
  </si>
  <si>
    <t>Uncaught TypeError: THREE.OrbitControls is not a constructor at brdf.html:49:26</t>
  </si>
  <si>
    <t>Uncaught TypeError: THREE.OrbitControls is not a constructor at example_homography.html:33:26</t>
  </si>
  <si>
    <t>gpt-5.2-codex</t>
  </si>
  <si>
    <t>gpt-5.2-codex-with-base-code</t>
  </si>
  <si>
    <t>Bad-3D, Interaction-Missing, Bad-Labels</t>
  </si>
  <si>
    <t>Bad-Labels, Hallucination, Concept-Misunderstanding, Initial-View-Wrong</t>
  </si>
  <si>
    <t>Missing-Labels, Initial-View-Wrong</t>
  </si>
  <si>
    <t>Interaction-Broken, Original-Mismatch, Hallucination, Initial-View-Wrong</t>
  </si>
  <si>
    <t>Hallucination, Interaction-Broken, Initial-View-Wrong</t>
  </si>
  <si>
    <t>Concept-Misunderstanding, Hallucination, Bad-3D, Initial-View-Wrong</t>
  </si>
  <si>
    <t>Interaction-OOB, Missing-Labels, Initial-View-Wrong</t>
  </si>
  <si>
    <t>Hallucination, Concept-Misunderstanding, Original-Mismatch, Initial-View-Wrong, Bad-Labels, Interaction-OOB</t>
  </si>
  <si>
    <t>Interaction-OOB, Initial-View-Wrong</t>
  </si>
  <si>
    <t>Initial-View-Wrong, Interaction-OOB, Original-Mismatch, Missing-Labels</t>
  </si>
  <si>
    <t>Bad-Labels, Concept-Misunderstanding, Initial-View-Wrong</t>
  </si>
  <si>
    <t>Bad-3D, Concept-Misunderstanding, Original-Mismatch, Initial-View-Wrong</t>
  </si>
  <si>
    <t>Initial-View-Wrong, Interaction-Unintuitive, Bad-3D</t>
  </si>
  <si>
    <t>Initial-View-Wrong, Interaction-Unintuitive</t>
  </si>
  <si>
    <t>Bad-Labels</t>
  </si>
  <si>
    <t>Interaction-Broken, Interaction-OOB, Initial-View-Wrong</t>
  </si>
  <si>
    <t>Bad-3D, Interaction-OOB, Initial-View-Wrong</t>
  </si>
  <si>
    <t>Interaction-OOB, Initial-View-Wrong, Original-Mismatch</t>
  </si>
  <si>
    <t>gpt-5.1-codex</t>
  </si>
  <si>
    <t>gpt-5.1-codex-with-base-code</t>
  </si>
  <si>
    <t>Interaction-Unintuitive, Hallucination, Bad-Labels</t>
  </si>
  <si>
    <t>Concept-Misunderstanding, Hallucination, Bad-Labels, Initial-View-Wrong</t>
  </si>
  <si>
    <t>Uncaught TypeError: Cannot read properties of undefined (reading 'count')
    at xe.computeLineDistances (three.core.js:27495:43)
    at homography_plane_geometry2.html:245:13</t>
  </si>
  <si>
    <t>Bad-3D, Interaction-Missing, Original-Mismatch</t>
  </si>
  <si>
    <t>Uncaught TypeError: Cannot read properties of undefined (reading 'count')
    at rn.computeLineDistances (three.module.js:34129:25)
    at orthogonal_projection.html:288:25</t>
  </si>
  <si>
    <t>Uncaught TypeError: Cannot read properties of undefined (reading 'count')
    at xe.computeLineDistances (three.core.js:27495:43)
    at pinhole_geometry2.html:315:26</t>
  </si>
  <si>
    <t>Uncaught SyntaxError: Identifier 'worldLabel' has already been declared</t>
  </si>
  <si>
    <t>Bad-Labels, Interaction-Unintuitive, Interaction-OOB, Initial-View-Wrong</t>
  </si>
  <si>
    <t>Uncaught TypeError: Cannot read properties of undefined (reading 'count')
    at wn.computeLineDistances (three.module.js:34210:25)
    at similar_triangles2.html:256:20</t>
  </si>
  <si>
    <t>Bad-Labels, Interaction-Broken, Original-Mismatch, Hallucination</t>
  </si>
  <si>
    <t>Interaction-Unintuitive</t>
  </si>
  <si>
    <t>Bad-Labels, Interaction-OOB, Initial-View-Wrong</t>
  </si>
  <si>
    <t>Interaction-Broken</t>
  </si>
  <si>
    <t>Interaction-Broken, Original-Mismatch</t>
  </si>
  <si>
    <t>Interaction-OOB, Missing-Labels, Hallucination, Original-Mismatch</t>
  </si>
  <si>
    <t>Interaction-OOB, Hallucination, Original-Mismatch</t>
  </si>
  <si>
    <t>Hallucination, Interaction-OOB, Initial-View-Wrong, Original-Mismatch</t>
  </si>
  <si>
    <t>Uncaught TypeError: Cannot read properties of undefined (reading 'count')
    at Line.computeLineDistances (three.module.js:33644:43)
    at makeDimLine (similar_triangles2.html:386:15)
    at similar_triangles2.html:390:26</t>
  </si>
  <si>
    <t>claude-opus-4.6-with-base-code</t>
  </si>
  <si>
    <t>Bad-Labels, Hallucination</t>
  </si>
  <si>
    <t>Interaction-OOB, Bad-Labels, Interaction-Broken, Hallucination</t>
  </si>
  <si>
    <t>Interaction-Unintuitive, Interaction-OOB, Initial-View-Wrong</t>
  </si>
  <si>
    <t>Interaction-Broken, Interaction-Unintuitive</t>
  </si>
  <si>
    <t>Original-Mismatch</t>
  </si>
  <si>
    <t>Bad-Labels, Interaction-OOB, Hallucination, Initial-View-Wrong</t>
  </si>
  <si>
    <t>Hallucination, Initial-View-Wrong</t>
  </si>
  <si>
    <t>Uncaught TypeError: Cannot read properties of undefined (reading 'count')
    at xe.computeLineDistances (three.core.js:27495:43)
    at rotation_homography_vs3.html:256:14</t>
  </si>
  <si>
    <t>Bad-Labels, Bad-3D, Interaction-OOB</t>
  </si>
  <si>
    <t>Interaction-Unintuitive, Interaction-Missing, Concept-Misunderstanding</t>
  </si>
  <si>
    <t>Interaction-OOB, Interaction-Unintuitive, Missing-Labels</t>
  </si>
  <si>
    <t>Bad-Labels, Interaction-OOB</t>
  </si>
  <si>
    <t>Original-Mismatch, Missing-Labels</t>
  </si>
  <si>
    <t>Uncaught TypeError: Cannot read properties of undefined (reading 'count')
    at Line.computeLineDistances (three.module.js:33936:43)
    at pinhole_geometry2.html:230:17</t>
  </si>
  <si>
    <t>three.module.js:33936 Uncaught TypeError: Cannot read properties of undefined (reading 'count')
    at Line.computeLineDistances (three.module.js:33936:43)
    at createProjectionRay (pinhole_names2.html:188:25)
    at init (pinhole_names2.html:97:13)
    at pinhole_names2.html:65:9</t>
  </si>
  <si>
    <t>Bad-3D, Bad-Labels, Interaction-OOB, Interaction-Broken, Original-Mismatch</t>
  </si>
  <si>
    <t>Bad-3D, Missing-Labels, Interaction-Broken, Initial-View-Wrong, Original-Mismatch, Concept-Misunderstanding, Hallucination</t>
  </si>
  <si>
    <t>gemini-3.1-pro-with-base-code</t>
  </si>
  <si>
    <t>Interaction-Unintuitive, Concept-Misunderstanding</t>
  </si>
  <si>
    <t>Original-Mismatch, Missing-Labels, Interaction-Unintuitive</t>
  </si>
  <si>
    <t>Interaction-Broken, Original-Mismatch, Initial-View-Wrong, Interaction-OOB</t>
  </si>
  <si>
    <t>Interaction-Broken, Missing-Labels, Original-Mismatch</t>
  </si>
  <si>
    <t>No error, but something seemingly went wrong with rendering</t>
  </si>
  <si>
    <t>Interaction-OOB, Bad-Labels, Missing-Labels</t>
  </si>
  <si>
    <t>Bad-Labels, Missing-Labels, Interaction-Unintuitive, Initial-View-Wrong, Original-Mismatch</t>
  </si>
  <si>
    <t>Interaction-Unintuitive, Initial-View-Wrong</t>
  </si>
  <si>
    <t>Missing-Labels, Bad-Labels, Interaction-OOB, Hallucination, Interaction-Unintuitive</t>
  </si>
  <si>
    <t>Interaction-Broken, Interaction-Unintuitive, Bad-Labels, Initial-View-Wrong</t>
  </si>
  <si>
    <t>Bad-3D, Missing-Labels, Interaction-Unintuitive, Interaction-Missing, Initial-View-Wrong, Original-Mismatch</t>
  </si>
  <si>
    <t>Interaction-Broken, Interaction-Missing, Bad-Labels, Missing-Labels, Interaction-OOB</t>
  </si>
  <si>
    <t>Missing-Labels, Bad-Labels, Hallucination, Concept-Misunderstanding</t>
  </si>
  <si>
    <t>Bad-3D, Missing-Labels, Interaction-Unintuitive, Interaction-OOB, Original-Mismatch, Concept-Misunderstanding</t>
  </si>
  <si>
    <t xml:space="preserve">Uncaught TypeError: Cannot read properties of undefined (reading 'count')
    at Cn.computeLineDistances (three.module.js:34775:25)
    at similar_triangles2.html:218:18
</t>
  </si>
  <si>
    <t>limit_qmd</t>
  </si>
  <si>
    <t>Bad-Labels, Initial-View-Wrong, Hallucination, Concept-Misunderstanding</t>
  </si>
  <si>
    <t>Concept-Misunderstanding, Bad-3D, Missing-Labels, Interaction-Unintuitive, Initial-View-Wrong, Original-Mismatch</t>
  </si>
  <si>
    <t>Interaction-Unintuitive, Bad-Labels</t>
  </si>
  <si>
    <t>Hallucination, Concept-Misunderstanding, Original-Mismatch</t>
  </si>
  <si>
    <t>Missing-Labels, Bad-Labels, Interaction-OOB</t>
  </si>
  <si>
    <t>Missing-Labels, Interaction-OOB, Bad-3D, Initial-View-Wrong</t>
  </si>
  <si>
    <t>Concept-Misunderstanding, Bad-Labels, Interaction-Broken, Initial-View-Wrong, Original-Mismatch</t>
  </si>
  <si>
    <t>Bad-Labels, Bad-3D, Initial-View-Wrong, Concept-Misunderstanding</t>
  </si>
  <si>
    <t>Bad-Labels, Hallucination, Interaction-Broken</t>
  </si>
  <si>
    <t>Missing-Labels, Bad-Labels, Initial-View-Wrong</t>
  </si>
  <si>
    <t>Hallucination, Interaction-Unintuitive, Bad-Labels, Initial-View-Wrong, Interaction-OOB</t>
  </si>
  <si>
    <t>Bad-3D, Bad-Labels, Interaction-OOB, Missing-Labels, Concept-Misunderstanding</t>
  </si>
  <si>
    <t>Missing-Labels, Bad-Labels, Original-Mismatch, Initial-View-Wrong, Concept-Misunderstanding</t>
  </si>
  <si>
    <t>gpt-5.3-codex</t>
  </si>
  <si>
    <t>Bad-Labels, Initial-View-Wrong, Hallucination</t>
  </si>
  <si>
    <t>Bad-Labels, Interaction-OOB, Initial-View-Wrong, Original-Mismatch, Concept-Misunderstanding</t>
  </si>
  <si>
    <t>Bad-3D, Interaction-Broken</t>
  </si>
  <si>
    <t>Hallucination, Bad-Labels</t>
  </si>
  <si>
    <t>Bad-Labels, Interaction-Unintuitive</t>
  </si>
  <si>
    <t>Bad-3D, Interaction-OOB, Original-Mismatch, Initial-View-Wrong, Concept-Misunderstanding</t>
  </si>
  <si>
    <t>Bad-Labels, Bad-3D, Initial-View-Wrong</t>
  </si>
  <si>
    <t>gpt-4o</t>
  </si>
  <si>
    <t>Bad-3D, Missing-Labels, Bad-Labels, Interaction-Unintuitive, Interaction-Broken, Initial-View-Wrong, Original-Mismatch, Concept-Misunderstanding, Interaction-Missing</t>
  </si>
  <si>
    <t>Bad-3D, Missing-Labels, Interaction-Unintuitive, Interaction-Broken, Initial-View-Wrong, Concept-Misunderstanding, Interaction-Missing</t>
  </si>
  <si>
    <t>Bad-3D, Missing-Labels, Bad-Labels, Interaction-Broken, Interaction-Missing, Interaction-Unintuitive, Initial-View-Wrong, Original-Mismatch, Concept-Misunderstanding</t>
  </si>
  <si>
    <t>Bad-3D, Missing-Labels, Interaction-Broken, Interaction-Missing, Initial-View-Wrong, Original-Mismatch, Concept-Misunderstanding</t>
  </si>
  <si>
    <t>Bad-3D, Missing-Labels, Interaction-Broken, Interaction-Unintuitive, Interaction-Missing, Initial-View-Wrong, Original-Mismatch, Concept-Misunderstanding</t>
  </si>
  <si>
    <t>Missing-Labels, Bad-3D, Initial-View-Wrong, Original-Mismatch, Concept-Misunderstanding</t>
  </si>
  <si>
    <t>Bad-3D, Missing-Labels, Interaction-Missing, Interaction-Unintuitive, Initial-View-Wrong, Original-Mismatch</t>
  </si>
  <si>
    <t>Bad-3D, Bad-Labels, Interaction-Missing, Interaction-Broken, Initial-View-Wrong, Original-Mismatch, Concept-Misunderstanding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</si>
</sst>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/dd/yyyy"/>
  </numFmts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0">
    <border/>
    <border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2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center" readingOrder="0"/>
    </xf>
    <xf borderId="5" fillId="0" fontId="4" numFmtId="164" xfId="0" applyAlignment="1" applyBorder="1" applyFont="1" applyNumberFormat="1">
      <alignment horizontal="center" readingOrder="0"/>
    </xf>
    <xf borderId="5" fillId="0" fontId="4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Font="1"/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5" fillId="0" fontId="5" numFmtId="164" xfId="0" applyAlignment="1" applyBorder="1" applyFont="1" applyNumberFormat="1">
      <alignment horizontal="center" readingOrder="0"/>
    </xf>
    <xf borderId="5" fillId="0" fontId="5" numFmtId="164" xfId="0" applyAlignment="1" applyBorder="1" applyFont="1" applyNumberFormat="1">
      <alignment horizontal="center"/>
    </xf>
    <xf borderId="5" fillId="0" fontId="5" numFmtId="164" xfId="0" applyBorder="1" applyFont="1" applyNumberFormat="1"/>
    <xf borderId="6" fillId="0" fontId="5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  <xf borderId="5" fillId="0" fontId="4" numFmtId="164" xfId="0" applyBorder="1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vertical="center"/>
    </xf>
    <xf borderId="8" fillId="0" fontId="5" numFmtId="165" xfId="0" applyAlignment="1" applyBorder="1" applyFont="1" applyNumberForma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8" fillId="2" fontId="5" numFmtId="165" xfId="0" applyAlignment="1" applyBorder="1" applyFill="1" applyFont="1" applyNumberFormat="1">
      <alignment readingOrder="0" shrinkToFit="0" vertical="center" wrapText="0"/>
    </xf>
    <xf borderId="8" fillId="2" fontId="5" numFmtId="0" xfId="0" applyAlignment="1" applyBorder="1" applyFont="1">
      <alignment readingOrder="0" shrinkToFit="0" vertical="center" wrapText="0"/>
    </xf>
    <xf borderId="7" fillId="2" fontId="5" numFmtId="0" xfId="0" applyAlignment="1" applyBorder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  <xf borderId="0" fillId="2" fontId="5" numFmtId="0" xfId="0" applyAlignment="1" applyFont="1">
      <alignment vertical="center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7" numFmtId="0" xfId="0" applyAlignment="1" applyFont="1">
      <alignment shrinkToFit="0" vertical="center" wrapText="0"/>
    </xf>
    <xf borderId="0" fillId="2" fontId="5" numFmtId="165" xfId="0" applyAlignment="1" applyFont="1" applyNumberFormat="1">
      <alignment readingOrder="0" shrinkToFit="0" vertical="center" wrapText="0"/>
    </xf>
    <xf borderId="9" fillId="2" fontId="7" numFmtId="0" xfId="0" applyAlignment="1" applyBorder="1" applyFont="1">
      <alignment shrinkToFit="0" wrapText="0"/>
    </xf>
    <xf borderId="0" fillId="0" fontId="5" numFmtId="165" xfId="0" applyAlignment="1" applyFont="1" applyNumberFormat="1">
      <alignment readingOrder="0" shrinkToFit="0" vertical="center" wrapText="0"/>
    </xf>
    <xf borderId="9" fillId="0" fontId="7" numFmtId="0" xfId="0" applyAlignment="1" applyBorder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ata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D158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33.25"/>
    <col customWidth="1" min="2" max="2" width="41.25"/>
    <col customWidth="1" min="3" max="3" width="43.63"/>
    <col customWidth="1" min="4" max="4" width="44.5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2" t="s">
        <v>3</v>
      </c>
      <c r="B2" s="1" t="s">
        <v>4</v>
      </c>
      <c r="C2" s="1" t="s">
        <v>4</v>
      </c>
      <c r="D2" s="1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1">
      <c r="A3" s="2" t="s">
        <v>6</v>
      </c>
      <c r="B3" s="1" t="s">
        <v>7</v>
      </c>
      <c r="C3" s="1" t="s">
        <v>8</v>
      </c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8.5" customHeight="1">
      <c r="A4" s="4" t="s">
        <v>9</v>
      </c>
      <c r="B4" s="5" t="s">
        <v>10</v>
      </c>
      <c r="C4" s="5" t="s">
        <v>11</v>
      </c>
      <c r="D4" s="5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5.5" customHeight="1">
      <c r="A6" s="6" t="s">
        <v>13</v>
      </c>
      <c r="B6" s="7">
        <f t="shared" ref="B6:D6" si="1">AVERAGE(B7:B12)</f>
        <v>4.388888889</v>
      </c>
      <c r="C6" s="8">
        <f t="shared" si="1"/>
        <v>4.372222222</v>
      </c>
      <c r="D6" s="9">
        <f t="shared" si="1"/>
        <v>3.466666667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" t="s">
        <v>14</v>
      </c>
      <c r="B7" s="10">
        <f>IFERROR(__xludf.DUMMYFUNCTION("AVERAGE(
  FILTER(
    Data!$E$2:$E1002,
    (ISBLANK(B$2) + REGEXMATCH(Data!$C$2:$C1002, ""(?i)^("" &amp; SUBSTITUTE(B$2, "", "", ""|"") &amp; "")$"")),
    (ISBLANK(B$3) + REGEXMATCH(Data!$B$2:$B1002, ""(?i)^("" &amp; SUBSTITUTE(B$3, "", "", ""|"") &amp; "")$"")),
    "&amp;"(ISBLANK(B$4) + REGEXMATCH(Data!$D$2:$D1002, ""(?i)^("" &amp; SUBSTITUTE(B$4, "", "", ""|"") &amp; "")$""))
  )
)"),4.666666666666667)</f>
        <v>4.666666667</v>
      </c>
      <c r="C7" s="10">
        <f>IFERROR(__xludf.DUMMYFUNCTION("AVERAGE(
  FILTER(
    Data!$E$2:$E1002,
    (ISBLANK(C$2) + REGEXMATCH(Data!$C$2:$C1002, ""(?i)^("" &amp; SUBSTITUTE(C$2, "", "", ""|"") &amp; "")$"")),
    (ISBLANK(C$3) + REGEXMATCH(Data!$B$2:$B1002, ""(?i)^("" &amp; SUBSTITUTE(C$3, "", "", ""|"") &amp; "")$"")),
    "&amp;"(ISBLANK(C$4) + REGEXMATCH(Data!$D$2:$D1002, ""(?i)^("" &amp; SUBSTITUTE(C$4, "", "", ""|"") &amp; "")$""))
  )
)"),5.0)</f>
        <v>5</v>
      </c>
      <c r="D7" s="10">
        <f>IFERROR(__xludf.DUMMYFUNCTION("AVERAGE(
  FILTER(
    Data!$E$2:$E1002,
    (ISBLANK(D$2) + REGEXMATCH(Data!$C$2:$C1002, ""(?i)^("" &amp; SUBSTITUTE(D$2, "", "", ""|"") &amp; "")$"")),
    (ISBLANK(D$3) + REGEXMATCH(Data!$B$2:$B1002, ""(?i)^("" &amp; SUBSTITUTE(D$3, "", "", ""|"") &amp; "")$"")),
    "&amp;"(ISBLANK(D$4) + REGEXMATCH(Data!$D$2:$D1002, ""(?i)^("" &amp; SUBSTITUTE(D$4, "", "", ""|"") &amp; "")$""))
  )
)"),4.333333333333333)</f>
        <v>4.333333333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75" customHeight="1">
      <c r="A8" s="1" t="s">
        <v>15</v>
      </c>
      <c r="B8" s="10">
        <f>IFERROR(__xludf.DUMMYFUNCTION("AVERAGE(
  FILTER(
    Data!$F$2:$F1002,
    (ISBLANK(B$2) + REGEXMATCH(Data!$C$2:$C1002, ""(?i)^("" &amp; SUBSTITUTE(B$2, "", "", ""|"") &amp; "")$"")),
    (ISBLANK(B$3) + REGEXMATCH(Data!$B$2:$B1002, ""(?i)^("" &amp; SUBSTITUTE(B$3, "", "", ""|"") &amp; "")$"")),
    "&amp;"(ISBLANK(B$4) + REGEXMATCH(Data!$D$2:$D1002, ""(?i)^("" &amp; SUBSTITUTE(B$4, "", "", ""|"") &amp; "")$""))
  )
)"),3.0)</f>
        <v>3</v>
      </c>
      <c r="C8" s="10">
        <f>IFERROR(__xludf.DUMMYFUNCTION("AVERAGE(
  FILTER(
    Data!$F$2:$F1002,
    (ISBLANK(C$2) + REGEXMATCH(Data!$C$2:$C1002, ""(?i)^("" &amp; SUBSTITUTE(C$2, "", "", ""|"") &amp; "")$"")),
    (ISBLANK(C$3) + REGEXMATCH(Data!$B$2:$B1002, ""(?i)^("" &amp; SUBSTITUTE(C$3, "", "", ""|"") &amp; "")$"")),
    "&amp;"(ISBLANK(C$4) + REGEXMATCH(Data!$D$2:$D1002, ""(?i)^("" &amp; SUBSTITUTE(C$4, "", "", ""|"") &amp; "")$""))
  )
)"),4.333333333333333)</f>
        <v>4.333333333</v>
      </c>
      <c r="D8" s="10">
        <f>IFERROR(__xludf.DUMMYFUNCTION("AVERAGE(
  FILTER(
    Data!$F$2:$F1002,
    (ISBLANK(D$2) + REGEXMATCH(Data!$C$2:$C1002, ""(?i)^("" &amp; SUBSTITUTE(D$2, "", "", ""|"") &amp; "")$"")),
    (ISBLANK(D$3) + REGEXMATCH(Data!$B$2:$B1002, ""(?i)^("" &amp; SUBSTITUTE(D$3, "", "", ""|"") &amp; "")$"")),
    "&amp;"(ISBLANK(D$4) + REGEXMATCH(Data!$D$2:$D1002, ""(?i)^("" &amp; SUBSTITUTE(D$4, "", "", ""|"") &amp; "")$""))
  )
)"),3.6666666666666665)</f>
        <v>3.666666667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1" t="s">
        <v>16</v>
      </c>
      <c r="B9" s="10">
        <f>IFERROR(__xludf.DUMMYFUNCTION("AVERAGE(
  FILTER(
    Data!$G$2:$G1002,
    (ISBLANK(B$2) + REGEXMATCH(Data!$C$2:$C1002, ""(?i)^("" &amp; SUBSTITUTE(B$2, "", "", ""|"") &amp; "")$"")),
    (ISBLANK(B$3) + REGEXMATCH(Data!$B$2:$B1002, ""(?i)^("" &amp; SUBSTITUTE(B$3, "", "", ""|"") &amp; "")$"")),
    "&amp;"(ISBLANK(B$4) + REGEXMATCH(Data!$D$2:$D1002, ""(?i)^("" &amp; SUBSTITUTE(B$4, "", "", ""|"") &amp; "")$""))
  )
)"),4.666666666666667)</f>
        <v>4.666666667</v>
      </c>
      <c r="C9" s="10">
        <f>IFERROR(__xludf.DUMMYFUNCTION("AVERAGE(
  FILTER(
    Data!$G$2:$G1002,
    (ISBLANK(C$2) + REGEXMATCH(Data!$C$2:$C1002, ""(?i)^("" &amp; SUBSTITUTE(C$2, "", "", ""|"") &amp; "")$"")),
    (ISBLANK(C$3) + REGEXMATCH(Data!$B$2:$B1002, ""(?i)^("" &amp; SUBSTITUTE(C$3, "", "", ""|"") &amp; "")$"")),
    "&amp;"(ISBLANK(C$4) + REGEXMATCH(Data!$D$2:$D1002, ""(?i)^("" &amp; SUBSTITUTE(C$4, "", "", ""|"") &amp; "")$""))
  )
)"),4.0)</f>
        <v>4</v>
      </c>
      <c r="D9" s="10">
        <f>IFERROR(__xludf.DUMMYFUNCTION("AVERAGE(
  FILTER(
    Data!$G$2:$G1002,
    (ISBLANK(D$2) + REGEXMATCH(Data!$C$2:$C1002, ""(?i)^("" &amp; SUBSTITUTE(D$2, "", "", ""|"") &amp; "")$"")),
    (ISBLANK(D$3) + REGEXMATCH(Data!$B$2:$B1002, ""(?i)^("" &amp; SUBSTITUTE(D$3, "", "", ""|"") &amp; "")$"")),
    "&amp;"(ISBLANK(D$4) + REGEXMATCH(Data!$D$2:$D1002, ""(?i)^("" &amp; SUBSTITUTE(D$4, "", "", ""|"") &amp; "")$""))
  )
)"),2.3333333333333335)</f>
        <v>2.333333333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1" t="s">
        <v>17</v>
      </c>
      <c r="B10" s="10">
        <f>IFERROR(__xludf.DUMMYFUNCTION("AVERAGE(
  FILTER(
    Data!$H$2:$H1002,
    (ISBLANK(B$2) + REGEXMATCH(Data!$C$2:$C1002, ""(?i)^("" &amp; SUBSTITUTE(B$2, "", "", ""|"") &amp; "")$"")),
    (ISBLANK(B$3) + REGEXMATCH(Data!$B$2:$B1002, ""(?i)^("" &amp; SUBSTITUTE(B$3, "", "", ""|"") &amp; "")$"")),
    "&amp;"(ISBLANK(B$4) + REGEXMATCH(Data!$D$2:$D1002, ""(?i)^("" &amp; SUBSTITUTE(B$4, "", "", ""|"") &amp; "")$""))
  )
)"),4.666666666666667)</f>
        <v>4.666666667</v>
      </c>
      <c r="C10" s="10">
        <f>IFERROR(__xludf.DUMMYFUNCTION("AVERAGE(
  FILTER(
    Data!$H$2:$H1002,
    (ISBLANK(C$2) + REGEXMATCH(Data!$C$2:$C1002, ""(?i)^("" &amp; SUBSTITUTE(C$2, "", "", ""|"") &amp; "")$"")),
    (ISBLANK(C$3) + REGEXMATCH(Data!$B$2:$B1002, ""(?i)^("" &amp; SUBSTITUTE(C$3, "", "", ""|"") &amp; "")$"")),
    "&amp;"(ISBLANK(C$4) + REGEXMATCH(Data!$D$2:$D1002, ""(?i)^("" &amp; SUBSTITUTE(C$4, "", "", ""|"") &amp; "")$""))
  )
)"),3.6666666666666665)</f>
        <v>3.666666667</v>
      </c>
      <c r="D10" s="10">
        <f>IFERROR(__xludf.DUMMYFUNCTION("AVERAGE(
  FILTER(
    Data!$H$2:$H1002,
    (ISBLANK(D$2) + REGEXMATCH(Data!$C$2:$C1002, ""(?i)^("" &amp; SUBSTITUTE(D$2, "", "", ""|"") &amp; "")$"")),
    (ISBLANK(D$3) + REGEXMATCH(Data!$B$2:$B1002, ""(?i)^("" &amp; SUBSTITUTE(D$3, "", "", ""|"") &amp; "")$"")),
    "&amp;"(ISBLANK(D$4) + REGEXMATCH(Data!$D$2:$D1002, ""(?i)^("" &amp; SUBSTITUTE(D$4, "", "", ""|"") &amp; "")$""))
  )
)"),3.6666666666666665)</f>
        <v>3.666666667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1" t="s">
        <v>18</v>
      </c>
      <c r="B11" s="10">
        <f>IFERROR(__xludf.DUMMYFUNCTION("AVERAGE(
  FILTER(
    Data!$I$2:$I1002,
    (ISBLANK(B$2) + REGEXMATCH(Data!$C$2:$C1002, ""(?i)^("" &amp; SUBSTITUTE(B$2, "", "", ""|"") &amp; "")$"")),
    (ISBLANK(B$3) + REGEXMATCH(Data!$B$2:$B1002, ""(?i)^("" &amp; SUBSTITUTE(B$3, "", "", ""|"") &amp; "")$"")),
    "&amp;"(ISBLANK(B$4) + REGEXMATCH(Data!$D$2:$D1002, ""(?i)^("" &amp; SUBSTITUTE(B$4, "", "", ""|"") &amp; "")$""))
  )
)"),4.666666666666667)</f>
        <v>4.666666667</v>
      </c>
      <c r="C11" s="10">
        <f>IFERROR(__xludf.DUMMYFUNCTION("AVERAGE(
  FILTER(
    Data!$I$2:$I1002,
    (ISBLANK(C$2) + REGEXMATCH(Data!$C$2:$C1002, ""(?i)^("" &amp; SUBSTITUTE(C$2, "", "", ""|"") &amp; "")$"")),
    (ISBLANK(C$3) + REGEXMATCH(Data!$B$2:$B1002, ""(?i)^("" &amp; SUBSTITUTE(C$3, "", "", ""|"") &amp; "")$"")),
    "&amp;"(ISBLANK(C$4) + REGEXMATCH(Data!$D$2:$D1002, ""(?i)^("" &amp; SUBSTITUTE(C$4, "", "", ""|"") &amp; "")$""))
  )
)"),5.0)</f>
        <v>5</v>
      </c>
      <c r="D11" s="10">
        <f>IFERROR(__xludf.DUMMYFUNCTION("AVERAGE(
  FILTER(
    Data!$I$2:$I1002,
    (ISBLANK(D$2) + REGEXMATCH(Data!$C$2:$C1002, ""(?i)^("" &amp; SUBSTITUTE(D$2, "", "", ""|"") &amp; "")$"")),
    (ISBLANK(D$3) + REGEXMATCH(Data!$B$2:$B1002, ""(?i)^("" &amp; SUBSTITUTE(D$3, "", "", ""|"") &amp; "")$"")),
    "&amp;"(ISBLANK(D$4) + REGEXMATCH(Data!$D$2:$D1002, ""(?i)^("" &amp; SUBSTITUTE(D$4, "", "", ""|"") &amp; "")$""))
  )
)"),3.3333333333333335)</f>
        <v>3.333333333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1" t="s">
        <v>19</v>
      </c>
      <c r="B12" s="10">
        <f>IFERROR(__xludf.DUMMYFUNCTION("AVERAGE(
  FILTER(
    Data!$J$2:$J1002,
    (ISBLANK(B$2) + REGEXMATCH(Data!$C$2:$C1002, ""(?i)^("" &amp; SUBSTITUTE(B$2, "", "", ""|"") &amp; "")$"")),
    (ISBLANK(B$3) + REGEXMATCH(Data!$B$2:$B1002, ""(?i)^("" &amp; SUBSTITUTE(B$3, "", "", ""|"") &amp; "")$"")),
    "&amp;"(ISBLANK(B$4) + REGEXMATCH(Data!$D$2:$D1002, ""(?i)^("" &amp; SUBSTITUTE(B$4, "", "", ""|"") &amp; "")$""))
  )
)"),4.666666666666667)</f>
        <v>4.666666667</v>
      </c>
      <c r="C12" s="10">
        <f>IFERROR(__xludf.DUMMYFUNCTION("AVERAGE(
  FILTER(
    Data!$J$2:$J1002,
    (ISBLANK(C$2) + REGEXMATCH(Data!$C$2:$C1002, ""(?i)^("" &amp; SUBSTITUTE(C$2, "", "", ""|"") &amp; "")$"")),
    (ISBLANK(C$3) + REGEXMATCH(Data!$B$2:$B1002, ""(?i)^("" &amp; SUBSTITUTE(C$3, "", "", ""|"") &amp; "")$"")),
    "&amp;"(ISBLANK(C$4) + REGEXMATCH(Data!$D$2:$D1002, ""(?i)^("" &amp; SUBSTITUTE(C$4, "", "", ""|"") &amp; "")$""))
  )
)"),4.233333333333333)</f>
        <v>4.233333333</v>
      </c>
      <c r="D12" s="10">
        <f>IFERROR(__xludf.DUMMYFUNCTION("AVERAGE(
  FILTER(
    Data!$J$2:$J1002,
    (ISBLANK(D$2) + REGEXMATCH(Data!$C$2:$C1002, ""(?i)^("" &amp; SUBSTITUTE(D$2, "", "", ""|"") &amp; "")$"")),
    (ISBLANK(D$3) + REGEXMATCH(Data!$B$2:$B1002, ""(?i)^("" &amp; SUBSTITUTE(D$3, "", "", ""|"") &amp; "")$"")),
    "&amp;"(ISBLANK(D$4) + REGEXMATCH(Data!$D$2:$D1002, ""(?i)^("" &amp; SUBSTITUTE(D$4, "", "", ""|"") &amp; "")$""))
  )
)"),3.466666666666667)</f>
        <v>3.466666667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6" t="s">
        <v>20</v>
      </c>
      <c r="B13" s="3" t="str">
        <f>IFERROR(__xludf.DUMMYFUNCTION("INDEX(
  QUERY(
    TRANSPOSE(
      TRIM(
        SPLIT(
          TEXTJOIN("", "", TRUE, 
            FILTER(
              Data!$K$2:$K1002,
              (ISBLANK(B$2) + REGEXMATCH(Data!$C$2:$C1002, ""(?i)^("" &amp; SUBSTITUTE(B$2, "", "", ""|"") &amp; "")$"""&amp;")),
              (ISBLANK(B$3) + REGEXMATCH(Data!$B$2:$B1002, ""(?i)^("" &amp; SUBSTITUTE(B$3, "", "", ""|"") &amp; "")$"")),
               (ISBLANK(B$4) + REGEXMATCH(Data!$D$2:$D1002, ""(?i)^("" &amp; SUBSTITUTE(B$4, "", "", ""|"") &amp; "")$"")),
              Data!$"&amp;"K$2:$K1002 &lt;&gt; """"
            )
          ),
          "",""
        )
      )
    ),
    ""SELECT Col1, COUNT(Col1) 
     GROUP BY Col1 
     ORDER BY COUNT(Col1) DESC 
     LIMIT 3"", 
    0
  ),
  0, 1
)"),"")</f>
        <v/>
      </c>
      <c r="C13" s="3" t="str">
        <f>IFERROR(__xludf.DUMMYFUNCTION("INDEX(
  QUERY(
    TRANSPOSE(
      TRIM(
        SPLIT(
          TEXTJOIN("", "", TRUE, 
            FILTER(
              Data!$K$2:$K1002,
              (ISBLANK(C$2) + REGEXMATCH(Data!$C$2:$C1002, ""(?i)^("" &amp; SUBSTITUTE(C$2, "", "", ""|"") &amp; "")$"""&amp;")),
              (ISBLANK(C$3) + REGEXMATCH(Data!$B$2:$B1002, ""(?i)^("" &amp; SUBSTITUTE(C$3, "", "", ""|"") &amp; "")$"")),
               (ISBLANK(C$4) + REGEXMATCH(Data!$D$2:$D1002, ""(?i)^("" &amp; SUBSTITUTE(C$4, "", "", ""|"") &amp; "")$"")),
              Data!$"&amp;"K$2:$K1002 &lt;&gt; """"
            )
          ),
          "",""
        )
      )
    ),
    ""SELECT Col1, COUNT(Col1) 
     GROUP BY Col1 
     ORDER BY COUNT(Col1) DESC 
     LIMIT 3"", 
    0
  ),
  0, 1
)"),"")</f>
        <v/>
      </c>
      <c r="D13" s="3" t="str">
        <f>IFERROR(__xludf.DUMMYFUNCTION("INDEX(
  QUERY(
    TRANSPOSE(
      TRIM(
        SPLIT(
          TEXTJOIN("", "", TRUE, 
            FILTER(
              Data!$K$2:$K1002,
              (ISBLANK(D$2) + REGEXMATCH(Data!$C$2:$C1002, ""(?i)^("" &amp; SUBSTITUTE(D$2, "", "", ""|"") &amp; "")$"""&amp;")),
              (ISBLANK(D$3) + REGEXMATCH(Data!$B$2:$B1002, ""(?i)^("" &amp; SUBSTITUTE(D$3, "", "", ""|"") &amp; "")$"")),
               (ISBLANK(D$4) + REGEXMATCH(Data!$D$2:$D1002, ""(?i)^("" &amp; SUBSTITUTE(D$4, "", "", ""|"") &amp; "")$"")),
              Data!$"&amp;"K$2:$K1002 &lt;&gt; """"
            )
          ),
          "",""
        )
      )
    ),
    ""SELECT Col1, COUNT(Col1) 
     GROUP BY Col1 
     ORDER BY COUNT(Col1) DESC 
     LIMIT 3"", 
    0
  ),
  0, 1
)"),"")</f>
        <v/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1.0</v>
      </c>
      <c r="B14" s="3" t="str">
        <f>IFERROR(__xludf.DUMMYFUNCTION("""COMPUTED_VALUE"""),"Initial-View-Wrong")</f>
        <v>Initial-View-Wrong</v>
      </c>
      <c r="C14" s="3" t="str">
        <f>IFERROR(__xludf.DUMMYFUNCTION("""COMPUTED_VALUE"""),"Bad-Labels")</f>
        <v>Bad-Labels</v>
      </c>
      <c r="D14" s="3" t="str">
        <f>IFERROR(__xludf.DUMMYFUNCTION("""COMPUTED_VALUE"""),"Hallucination")</f>
        <v>Hallucination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>
        <v>2.0</v>
      </c>
      <c r="B15" s="6" t="str">
        <f>IFERROR(__xludf.DUMMYFUNCTION("""COMPUTED_VALUE"""),"Bad-3D")</f>
        <v>Bad-3D</v>
      </c>
      <c r="C15" s="12" t="str">
        <f>IFERROR(__xludf.DUMMYFUNCTION("""COMPUTED_VALUE"""),"Interaction-OOB")</f>
        <v>Interaction-OOB</v>
      </c>
      <c r="D15" s="12" t="str">
        <f>IFERROR(__xludf.DUMMYFUNCTION("""COMPUTED_VALUE"""),"Bad-Labels")</f>
        <v>Bad-Labels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3.0</v>
      </c>
      <c r="B16" s="3" t="str">
        <f>IFERROR(__xludf.DUMMYFUNCTION("""COMPUTED_VALUE"""),"Hallucination")</f>
        <v>Hallucination</v>
      </c>
      <c r="C16" s="3" t="str">
        <f>IFERROR(__xludf.DUMMYFUNCTION("""COMPUTED_VALUE"""),"Hallucination")</f>
        <v>Hallucination</v>
      </c>
      <c r="D16" s="3" t="str">
        <f>IFERROR(__xludf.DUMMYFUNCTION("""COMPUTED_VALUE"""),"Original-Mismatch")</f>
        <v>Original-Mismatch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conditionalFormatting sqref="B6:D12">
    <cfRule type="colorScale" priority="1">
      <colorScale>
        <cfvo type="formula" val="0"/>
        <cfvo type="formula" val="3"/>
        <cfvo type="formula" val="5"/>
        <color rgb="FFE06666"/>
        <color rgb="FFFFF2CC"/>
        <color rgb="FF6AA84F"/>
      </colorScale>
    </cfRule>
  </conditionalFormatting>
  <conditionalFormatting sqref="B11:D12">
    <cfRule type="colorScale" priority="2">
      <colorScale>
        <cfvo type="formula" val="0"/>
        <cfvo type="formula" val="1"/>
        <cfvo type="formula" val="2"/>
        <color rgb="FFE06666"/>
        <color rgb="FFFFF2CC"/>
        <color rgb="FF6AA84F"/>
      </colorScale>
    </cfRule>
  </conditionalFormatting>
  <conditionalFormatting sqref="B6:D12">
    <cfRule type="notContainsBlanks" dxfId="0" priority="3">
      <formula>LEN(TRIM(B6))&gt;0</formula>
    </cfRule>
  </conditionalFormatting>
  <conditionalFormatting sqref="D2">
    <cfRule type="notContainsBlanks" dxfId="0" priority="4">
      <formula>LEN(TRIM(D2))&gt;0</formula>
    </cfRule>
  </conditionalFormatting>
  <dataValidations>
    <dataValidation type="list" allowBlank="1" showErrorMessage="1" sqref="B3:D3">
      <formula1>Data!$B$2:$B1002</formula1>
    </dataValidation>
    <dataValidation type="list" allowBlank="1" showErrorMessage="1" sqref="B2:D2">
      <formula1>Data!$C$2:$C1002</formula1>
    </dataValidation>
    <dataValidation type="list" allowBlank="1" showErrorMessage="1" sqref="B4:D4">
      <formula1>Data!$D$2:$D1002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0.25"/>
    <col customWidth="1" min="2" max="2" width="10.38"/>
    <col customWidth="1" min="4" max="4" width="19.88"/>
    <col customWidth="1" min="5" max="5" width="19.63"/>
    <col customWidth="1" min="6" max="6" width="25.5"/>
    <col customWidth="1" min="8" max="8" width="21.5"/>
    <col customWidth="1" min="9" max="9" width="18.5"/>
    <col customWidth="1" min="10" max="10" width="46.38"/>
  </cols>
  <sheetData>
    <row r="1">
      <c r="A1" s="13" t="s">
        <v>21</v>
      </c>
      <c r="B1" s="13" t="str">
        <f>IFERROR(__xludf.DUMMYFUNCTION("{ ""Prompt List"" ; UNIQUE(FILTER(Data!$B$2:$B562, Data!$B$2:$B562 &lt;&gt; """"))}
"),"Prompt List")</f>
        <v>Prompt List</v>
      </c>
      <c r="C1" s="14" t="str">
        <f t="array" ref="C1:C562">{"Overall Score"; MAP(D2:D562, E2:E562, F2:F562, G2:G562, H2:H562, LAMBDA(c, d, e, f, g, 
  IF(COUNT(c, d, e, f, g) = 0, , AVERAGE(c, d, e, f, g))
))}</f>
        <v>Overall Score</v>
      </c>
      <c r="D1" s="15" t="str">
        <f>IFERROR(__xludf.DUMMYFUNCTION("{""Geometry Accuracy""; MAP($B2:$B562, LAMBDA(val, 
  IF(val = """", , 
    IFERROR(
      AVERAGE(
        FILTER(
          Data!E$2:E562, 
          Data!$B$2:$B562 = val,
          REGEXMATCH(Data!$C$2:$C562, ""(?i)^("" &amp; SUBSTITUTE(SUBSTITUTE($A$2, "&amp;""", "", ""|""), "","", ""|"") &amp; "")$"")
        )
      ), 
      """"
    )
  )
))}"),"Geometry Accuracy")</f>
        <v>Geometry Accuracy</v>
      </c>
      <c r="E1" s="15" t="str">
        <f>IFERROR(__xludf.DUMMYFUNCTION("{""Interactivity &amp; Usability""; MAP($B2:$B562, LAMBDA(val, 
  IF(val = """", , 
    IFERROR(
      AVERAGE(
        FILTER(
          Data!F$2:F562, 
          Data!$B$2:$B562 = val,
          REGEXMATCH(Data!$C$2:$C562, ""(?i)^("" &amp; SUBSTITUTE(SUBSTITUTE"&amp;"($A$2, "", "", ""|""), "","", ""|"") &amp; "")$"")
        )
      ), 
      """"
    )
  )
))}"),"Interactivity &amp; Usability")</f>
        <v>Interactivity &amp; Usability</v>
      </c>
      <c r="F1" s="15" t="str">
        <f>IFERROR(__xludf.DUMMYFUNCTION("{""Faithfulness to Figure Image""; MAP($B2:$B562, LAMBDA(val, 
  IF(val = """", , 
    IFERROR(
      AVERAGE(
        FILTER(
          Data!G$2:G562, 
          Data!$B$2:$B562 = val,
          REGEXMATCH(Data!$C$2:$C562, ""(?i)^("" &amp; SUBSTITUTE(SUBSTIT"&amp;"UTE($A$2, "", "", ""|""), "","", ""|"") &amp; "")$"")
        )
      ), 
      """"
    )
  )
))}"),"Faithfulness to Figure Image")</f>
        <v>Faithfulness to Figure Image</v>
      </c>
      <c r="G1" s="15" t="str">
        <f>IFERROR(__xludf.DUMMYFUNCTION("{""Label Quality""; MAP($B2:$B562, LAMBDA(val, 
  IF(val = """", , 
    IFERROR(
      AVERAGE(
        FILTER(
          Data!H$2:H562, 
          Data!$B$2:$B562 = val,
          REGEXMATCH(Data!$C$2:$C562, ""(?i)^("" &amp; SUBSTITUTE(SUBSTITUTE($A$2, "", "&amp;""", ""|""), "","", ""|"") &amp; "")$"")
        )
      ), 
      """"
    )
  )
))}"),"Label Quality")</f>
        <v>Label Quality</v>
      </c>
      <c r="H1" s="15" t="str">
        <f>IFERROR(__xludf.DUMMYFUNCTION("{""Concept Accuracy""; MAP($B2:$B562, LAMBDA(val, 
  IF(val = """", , 
    IFERROR(
      AVERAGE(
        FILTER(
          Data!I$2:I562, 
          Data!$B$2:$B562 = val,
          REGEXMATCH(Data!$C$2:$C562, ""(?i)^("" &amp; SUBSTITUTE(SUBSTITUTE($A$2, """&amp;", "", ""|""), "","", ""|"") &amp; "")$"")
        )
      ), 
      """"
    )
  )
))}"),"Concept Accuracy")</f>
        <v>Concept Accuracy</v>
      </c>
      <c r="I1" s="15" t="str">
        <f>IFERROR(__xludf.DUMMYFUNCTION("{""Visual Aesthetics""; MAP($B2:$B562, LAMBDA(val, 
  IF(val = """", , 
    IFERROR(
      AVERAGE(
        FILTER(
          Data!J$2:J562, 
          Data!$B$2:$B562 = val,
          REGEXMATCH(Data!$C$2:$C562, ""(?i)^("" &amp; SUBSTITUTE(SUBSTITUTE($A$2, "&amp;""", "", ""|""), "","", ""|"") &amp; "")$"")
        )
      ), 
      """"
    )
  )
))}"),"Visual Aesthetics")</f>
        <v>Visual Aesthetics</v>
      </c>
      <c r="J1" s="15" t="str">
        <f>IFERROR(__xludf.DUMMYFUNCTION("{""Top 3 Failure Modes""; 
  MAP(B2:B562, LAMBDA(row_val, 
    IF(row_val="""",,
      IFERROR(
        TEXTJOIN("", "", TRUE, 
          INDEX(
            QUERY(
              TRANSPOSE(
                TRIM(
                  SPLIT(
                   "&amp;" TEXTJOIN("", "", TRUE, 
                      FILTER(
                        Data!$K$2:$K562,
                        Data!$B$2:$B562 = row_val,
                        Data!$K$2:$K562 &lt;&gt; """"
                      )
                    ),
             "&amp;"       "",""
                  )
                )
              ),
              ""SELECT Col1, COUNT(Col1) 
               GROUP BY Col1 
               ORDER BY COUNT(Col1) DESC 
               LIMIT 3"", 
              0
            ),
            0, "&amp;"1
          )
        ), 
        """"
      )
    )
  ))
}"),"Top 3 Failure Modes")</f>
        <v>Top 3 Failure Modes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 t="s">
        <v>22</v>
      </c>
      <c r="B2" s="18" t="str">
        <f>IFERROR(__xludf.DUMMYFUNCTION("""COMPUTED_VALUE"""),"one_line")</f>
        <v>one_line</v>
      </c>
      <c r="C2" s="19">
        <v>3.2962962962962963</v>
      </c>
      <c r="D2" s="20">
        <f>IFERROR(__xludf.DUMMYFUNCTION("""COMPUTED_VALUE"""),3.814814814814815)</f>
        <v>3.814814815</v>
      </c>
      <c r="E2" s="20">
        <f>IFERROR(__xludf.DUMMYFUNCTION("""COMPUTED_VALUE"""),3.6296296296296298)</f>
        <v>3.62962963</v>
      </c>
      <c r="F2" s="20">
        <f>IFERROR(__xludf.DUMMYFUNCTION("""COMPUTED_VALUE"""),3.4444444444444446)</f>
        <v>3.444444444</v>
      </c>
      <c r="G2" s="20">
        <f>IFERROR(__xludf.DUMMYFUNCTION("""COMPUTED_VALUE"""),2.740740740740741)</f>
        <v>2.740740741</v>
      </c>
      <c r="H2" s="20">
        <f>IFERROR(__xludf.DUMMYFUNCTION("""COMPUTED_VALUE"""),2.8518518518518516)</f>
        <v>2.851851852</v>
      </c>
      <c r="I2" s="20">
        <f>IFERROR(__xludf.DUMMYFUNCTION("""COMPUTED_VALUE"""),3.325925925925926)</f>
        <v>3.325925926</v>
      </c>
      <c r="J2" s="21" t="str">
        <f>IFERROR(__xludf.DUMMYFUNCTION("""COMPUTED_VALUE"""),"Missing-Labels, Concept-Misunderstanding, Hallucination")</f>
        <v>Missing-Labels, Concept-Misunderstanding, Hallucination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B3" s="18" t="str">
        <f>IFERROR(__xludf.DUMMYFUNCTION("""COMPUTED_VALUE"""),"with_reqs")</f>
        <v>with_reqs</v>
      </c>
      <c r="C3" s="19">
        <v>3.8272727272727267</v>
      </c>
      <c r="D3" s="20">
        <f>IFERROR(__xludf.DUMMYFUNCTION("""COMPUTED_VALUE"""),4.318181818181818)</f>
        <v>4.318181818</v>
      </c>
      <c r="E3" s="20">
        <f>IFERROR(__xludf.DUMMYFUNCTION("""COMPUTED_VALUE"""),3.727272727272727)</f>
        <v>3.727272727</v>
      </c>
      <c r="F3" s="20">
        <f>IFERROR(__xludf.DUMMYFUNCTION("""COMPUTED_VALUE"""),3.727272727272727)</f>
        <v>3.727272727</v>
      </c>
      <c r="G3" s="20">
        <f>IFERROR(__xludf.DUMMYFUNCTION("""COMPUTED_VALUE"""),3.727272727272727)</f>
        <v>3.727272727</v>
      </c>
      <c r="H3" s="20">
        <f>IFERROR(__xludf.DUMMYFUNCTION("""COMPUTED_VALUE"""),3.6363636363636362)</f>
        <v>3.636363636</v>
      </c>
      <c r="I3" s="20">
        <f>IFERROR(__xludf.DUMMYFUNCTION("""COMPUTED_VALUE"""),3.9272727272727277)</f>
        <v>3.927272727</v>
      </c>
      <c r="J3" s="21" t="str">
        <f>IFERROR(__xludf.DUMMYFUNCTION("""COMPUTED_VALUE"""),"Initial-View-Wrong, Hallucination, Interaction-OOB")</f>
        <v>Initial-View-Wrong, Hallucination, Interaction-OOB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B4" s="18" t="str">
        <f>IFERROR(__xludf.DUMMYFUNCTION("""COMPUTED_VALUE"""),"with_qmd")</f>
        <v>with_qmd</v>
      </c>
      <c r="C4" s="19">
        <v>3.943589743589743</v>
      </c>
      <c r="D4" s="20">
        <f>IFERROR(__xludf.DUMMYFUNCTION("""COMPUTED_VALUE"""),4.461538461538462)</f>
        <v>4.461538462</v>
      </c>
      <c r="E4" s="20">
        <f>IFERROR(__xludf.DUMMYFUNCTION("""COMPUTED_VALUE"""),3.58974358974359)</f>
        <v>3.58974359</v>
      </c>
      <c r="F4" s="20">
        <f>IFERROR(__xludf.DUMMYFUNCTION("""COMPUTED_VALUE"""),3.6666666666666665)</f>
        <v>3.666666667</v>
      </c>
      <c r="G4" s="20">
        <f>IFERROR(__xludf.DUMMYFUNCTION("""COMPUTED_VALUE"""),3.5641025641025643)</f>
        <v>3.564102564</v>
      </c>
      <c r="H4" s="20">
        <f>IFERROR(__xludf.DUMMYFUNCTION("""COMPUTED_VALUE"""),4.435897435897436)</f>
        <v>4.435897436</v>
      </c>
      <c r="I4" s="20">
        <f>IFERROR(__xludf.DUMMYFUNCTION("""COMPUTED_VALUE"""),3.900000000000001)</f>
        <v>3.9</v>
      </c>
      <c r="J4" s="21" t="str">
        <f>IFERROR(__xludf.DUMMYFUNCTION("""COMPUTED_VALUE"""),"Original-Mismatch, Interaction-OOB, Bad-Labels")</f>
        <v>Original-Mismatch, Interaction-OOB, Bad-Labels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B5" s="22" t="str">
        <f>IFERROR(__xludf.DUMMYFUNCTION("""COMPUTED_VALUE"""),"limit_qmd")</f>
        <v>limit_qmd</v>
      </c>
      <c r="C5" s="19">
        <v>3.138888888888889</v>
      </c>
      <c r="D5" s="20">
        <f>IFERROR(__xludf.DUMMYFUNCTION("""COMPUTED_VALUE"""),3.611111111111111)</f>
        <v>3.611111111</v>
      </c>
      <c r="E5" s="20">
        <f>IFERROR(__xludf.DUMMYFUNCTION("""COMPUTED_VALUE"""),3.3333333333333335)</f>
        <v>3.333333333</v>
      </c>
      <c r="F5" s="20">
        <f>IFERROR(__xludf.DUMMYFUNCTION("""COMPUTED_VALUE"""),3.1944444444444446)</f>
        <v>3.194444444</v>
      </c>
      <c r="G5" s="20">
        <f>IFERROR(__xludf.DUMMYFUNCTION("""COMPUTED_VALUE"""),2.5)</f>
        <v>2.5</v>
      </c>
      <c r="H5" s="20">
        <f>IFERROR(__xludf.DUMMYFUNCTION("""COMPUTED_VALUE"""),3.0555555555555554)</f>
        <v>3.055555556</v>
      </c>
      <c r="I5" s="20">
        <f>IFERROR(__xludf.DUMMYFUNCTION("""COMPUTED_VALUE"""),3.1027777777777783)</f>
        <v>3.102777778</v>
      </c>
      <c r="J5" s="21" t="str">
        <f>IFERROR(__xludf.DUMMYFUNCTION("""COMPUTED_VALUE"""),"Initial-View-Wrong, Bad-Labels, Concept-Misunderstanding")</f>
        <v>Initial-View-Wrong, Bad-Labels, Concept-Misunderstanding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B6" s="18"/>
      <c r="C6" s="19"/>
      <c r="D6" s="20"/>
      <c r="E6" s="20"/>
      <c r="F6" s="20"/>
      <c r="G6" s="20"/>
      <c r="H6" s="20"/>
      <c r="I6" s="20"/>
      <c r="J6" s="21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B7" s="18"/>
      <c r="C7" s="19"/>
      <c r="D7" s="20"/>
      <c r="E7" s="20"/>
      <c r="F7" s="20"/>
      <c r="G7" s="20"/>
      <c r="H7" s="20"/>
      <c r="I7" s="20"/>
      <c r="J7" s="21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B8" s="23"/>
      <c r="C8" s="19"/>
      <c r="D8" s="20"/>
      <c r="E8" s="20"/>
      <c r="F8" s="20"/>
      <c r="G8" s="20"/>
      <c r="H8" s="20"/>
      <c r="I8" s="24"/>
      <c r="J8" s="2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7"/>
      <c r="B9" s="16"/>
      <c r="C9" s="19"/>
      <c r="D9" s="20"/>
      <c r="E9" s="20"/>
      <c r="F9" s="20"/>
      <c r="G9" s="20"/>
      <c r="H9" s="20"/>
      <c r="I9" s="24"/>
      <c r="J9" s="2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7"/>
      <c r="B10" s="16"/>
      <c r="C10" s="19"/>
      <c r="D10" s="20"/>
      <c r="E10" s="20"/>
      <c r="F10" s="20"/>
      <c r="G10" s="20"/>
      <c r="H10" s="20"/>
      <c r="I10" s="24"/>
      <c r="J10" s="2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/>
      <c r="B11" s="16"/>
      <c r="C11" s="19"/>
      <c r="D11" s="20"/>
      <c r="E11" s="20"/>
      <c r="F11" s="20"/>
      <c r="G11" s="20"/>
      <c r="H11" s="20"/>
      <c r="I11" s="24"/>
      <c r="J11" s="2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16"/>
      <c r="C12" s="19"/>
      <c r="D12" s="20"/>
      <c r="E12" s="20"/>
      <c r="F12" s="20"/>
      <c r="G12" s="20"/>
      <c r="H12" s="20"/>
      <c r="I12" s="24"/>
      <c r="J12" s="2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16"/>
      <c r="C13" s="19"/>
      <c r="D13" s="20"/>
      <c r="E13" s="20"/>
      <c r="F13" s="20"/>
      <c r="G13" s="20"/>
      <c r="H13" s="20"/>
      <c r="I13" s="24"/>
      <c r="J13" s="2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9"/>
      <c r="D14" s="20"/>
      <c r="E14" s="20"/>
      <c r="F14" s="20"/>
      <c r="G14" s="20"/>
      <c r="H14" s="20"/>
      <c r="I14" s="24"/>
      <c r="J14" s="2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9"/>
      <c r="D15" s="20"/>
      <c r="E15" s="20"/>
      <c r="F15" s="20"/>
      <c r="G15" s="20"/>
      <c r="H15" s="20"/>
      <c r="I15" s="24"/>
      <c r="J15" s="2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9"/>
      <c r="D16" s="20"/>
      <c r="E16" s="20"/>
      <c r="F16" s="20"/>
      <c r="G16" s="20"/>
      <c r="H16" s="20"/>
      <c r="I16" s="24"/>
      <c r="J16" s="2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9"/>
      <c r="D17" s="20"/>
      <c r="E17" s="20"/>
      <c r="F17" s="20"/>
      <c r="G17" s="20"/>
      <c r="H17" s="20"/>
      <c r="I17" s="24"/>
      <c r="J17" s="24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9"/>
      <c r="D18" s="20"/>
      <c r="E18" s="20"/>
      <c r="F18" s="20"/>
      <c r="G18" s="20"/>
      <c r="H18" s="20"/>
      <c r="I18" s="24"/>
      <c r="J18" s="2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9"/>
      <c r="D19" s="20"/>
      <c r="E19" s="20"/>
      <c r="F19" s="20"/>
      <c r="G19" s="20"/>
      <c r="H19" s="20"/>
      <c r="I19" s="24"/>
      <c r="J19" s="2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9"/>
      <c r="D20" s="20"/>
      <c r="E20" s="20"/>
      <c r="F20" s="20"/>
      <c r="G20" s="20"/>
      <c r="H20" s="20"/>
      <c r="I20" s="24"/>
      <c r="J20" s="2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9"/>
      <c r="D21" s="20"/>
      <c r="E21" s="20"/>
      <c r="F21" s="20"/>
      <c r="G21" s="20"/>
      <c r="H21" s="20"/>
      <c r="I21" s="24"/>
      <c r="J21" s="2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9"/>
      <c r="D22" s="20"/>
      <c r="E22" s="20"/>
      <c r="F22" s="20"/>
      <c r="G22" s="20"/>
      <c r="H22" s="20"/>
      <c r="I22" s="24"/>
      <c r="J22" s="2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9"/>
      <c r="D23" s="20"/>
      <c r="E23" s="20"/>
      <c r="F23" s="20"/>
      <c r="G23" s="20"/>
      <c r="H23" s="20"/>
      <c r="I23" s="24"/>
      <c r="J23" s="2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9"/>
      <c r="D24" s="20"/>
      <c r="E24" s="20"/>
      <c r="F24" s="20"/>
      <c r="G24" s="20"/>
      <c r="H24" s="20"/>
      <c r="I24" s="24"/>
      <c r="J24" s="2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9"/>
      <c r="D25" s="20"/>
      <c r="E25" s="20"/>
      <c r="F25" s="20"/>
      <c r="G25" s="20"/>
      <c r="H25" s="20"/>
      <c r="I25" s="24"/>
      <c r="J25" s="2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9"/>
      <c r="D26" s="20"/>
      <c r="E26" s="20"/>
      <c r="F26" s="20"/>
      <c r="G26" s="20"/>
      <c r="H26" s="20"/>
      <c r="I26" s="24"/>
      <c r="J26" s="24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9"/>
      <c r="D27" s="20"/>
      <c r="E27" s="20"/>
      <c r="F27" s="20"/>
      <c r="G27" s="20"/>
      <c r="H27" s="20"/>
      <c r="I27" s="24"/>
      <c r="J27" s="24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9"/>
      <c r="D28" s="20"/>
      <c r="E28" s="20"/>
      <c r="F28" s="20"/>
      <c r="G28" s="20"/>
      <c r="H28" s="20"/>
      <c r="I28" s="24"/>
      <c r="J28" s="24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9"/>
      <c r="D29" s="20"/>
      <c r="E29" s="20"/>
      <c r="F29" s="20"/>
      <c r="G29" s="20"/>
      <c r="H29" s="20"/>
      <c r="I29" s="24"/>
      <c r="J29" s="24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9"/>
      <c r="D30" s="20"/>
      <c r="E30" s="20"/>
      <c r="F30" s="20"/>
      <c r="G30" s="20"/>
      <c r="H30" s="20"/>
      <c r="I30" s="24"/>
      <c r="J30" s="24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9"/>
      <c r="D31" s="20"/>
      <c r="E31" s="20"/>
      <c r="F31" s="20"/>
      <c r="G31" s="20"/>
      <c r="H31" s="20"/>
      <c r="I31" s="24"/>
      <c r="J31" s="24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9"/>
      <c r="D32" s="20"/>
      <c r="E32" s="20"/>
      <c r="F32" s="20"/>
      <c r="G32" s="20"/>
      <c r="H32" s="20"/>
      <c r="I32" s="24"/>
      <c r="J32" s="24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9"/>
      <c r="D33" s="20"/>
      <c r="E33" s="20"/>
      <c r="F33" s="20"/>
      <c r="G33" s="20"/>
      <c r="H33" s="20"/>
      <c r="I33" s="24"/>
      <c r="J33" s="24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9"/>
      <c r="D34" s="20"/>
      <c r="E34" s="20"/>
      <c r="F34" s="20"/>
      <c r="G34" s="20"/>
      <c r="H34" s="20"/>
      <c r="I34" s="24"/>
      <c r="J34" s="24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9"/>
      <c r="D35" s="20"/>
      <c r="E35" s="20"/>
      <c r="F35" s="20"/>
      <c r="G35" s="20"/>
      <c r="H35" s="20"/>
      <c r="I35" s="24"/>
      <c r="J35" s="24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9"/>
      <c r="D36" s="20"/>
      <c r="E36" s="20"/>
      <c r="F36" s="20"/>
      <c r="G36" s="20"/>
      <c r="H36" s="20"/>
      <c r="I36" s="24"/>
      <c r="J36" s="24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9"/>
      <c r="D37" s="20"/>
      <c r="E37" s="20"/>
      <c r="F37" s="20"/>
      <c r="G37" s="20"/>
      <c r="H37" s="20"/>
      <c r="I37" s="24"/>
      <c r="J37" s="24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9"/>
      <c r="D38" s="20"/>
      <c r="E38" s="20"/>
      <c r="F38" s="20"/>
      <c r="G38" s="20"/>
      <c r="H38" s="20"/>
      <c r="I38" s="24"/>
      <c r="J38" s="24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9"/>
      <c r="D39" s="20"/>
      <c r="E39" s="20"/>
      <c r="F39" s="20"/>
      <c r="G39" s="20"/>
      <c r="H39" s="20"/>
      <c r="I39" s="24"/>
      <c r="J39" s="24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9"/>
      <c r="D40" s="20"/>
      <c r="E40" s="20"/>
      <c r="F40" s="20"/>
      <c r="G40" s="20"/>
      <c r="H40" s="20"/>
      <c r="I40" s="24"/>
      <c r="J40" s="24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9"/>
      <c r="D41" s="20"/>
      <c r="E41" s="20"/>
      <c r="F41" s="20"/>
      <c r="G41" s="20"/>
      <c r="H41" s="20"/>
      <c r="I41" s="24"/>
      <c r="J41" s="24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9"/>
      <c r="D42" s="20"/>
      <c r="E42" s="20"/>
      <c r="F42" s="20"/>
      <c r="G42" s="20"/>
      <c r="H42" s="20"/>
      <c r="I42" s="24"/>
      <c r="J42" s="24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9"/>
      <c r="D43" s="20"/>
      <c r="E43" s="20"/>
      <c r="F43" s="20"/>
      <c r="G43" s="20"/>
      <c r="H43" s="20"/>
      <c r="I43" s="24"/>
      <c r="J43" s="24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9"/>
      <c r="D44" s="20"/>
      <c r="E44" s="20"/>
      <c r="F44" s="20"/>
      <c r="G44" s="20"/>
      <c r="H44" s="20"/>
      <c r="I44" s="24"/>
      <c r="J44" s="24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9"/>
      <c r="D45" s="20"/>
      <c r="E45" s="20"/>
      <c r="F45" s="20"/>
      <c r="G45" s="20"/>
      <c r="H45" s="20"/>
      <c r="I45" s="24"/>
      <c r="J45" s="24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9"/>
      <c r="D46" s="20"/>
      <c r="E46" s="20"/>
      <c r="F46" s="20"/>
      <c r="G46" s="20"/>
      <c r="H46" s="20"/>
      <c r="I46" s="24"/>
      <c r="J46" s="24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9"/>
      <c r="D47" s="20"/>
      <c r="E47" s="20"/>
      <c r="F47" s="20"/>
      <c r="G47" s="20"/>
      <c r="H47" s="20"/>
      <c r="I47" s="24"/>
      <c r="J47" s="24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9"/>
      <c r="D48" s="20"/>
      <c r="E48" s="20"/>
      <c r="F48" s="20"/>
      <c r="G48" s="20"/>
      <c r="H48" s="20"/>
      <c r="I48" s="24"/>
      <c r="J48" s="24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9"/>
      <c r="D49" s="20"/>
      <c r="E49" s="20"/>
      <c r="F49" s="20"/>
      <c r="G49" s="20"/>
      <c r="H49" s="20"/>
      <c r="I49" s="24"/>
      <c r="J49" s="24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9"/>
      <c r="D50" s="20"/>
      <c r="E50" s="20"/>
      <c r="F50" s="20"/>
      <c r="G50" s="20"/>
      <c r="H50" s="20"/>
      <c r="I50" s="24"/>
      <c r="J50" s="24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9"/>
      <c r="D51" s="20"/>
      <c r="E51" s="20"/>
      <c r="F51" s="20"/>
      <c r="G51" s="20"/>
      <c r="H51" s="20"/>
      <c r="I51" s="24"/>
      <c r="J51" s="24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9"/>
      <c r="D52" s="20"/>
      <c r="E52" s="20"/>
      <c r="F52" s="20"/>
      <c r="G52" s="20"/>
      <c r="H52" s="20"/>
      <c r="I52" s="24"/>
      <c r="J52" s="24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9"/>
      <c r="D53" s="20"/>
      <c r="E53" s="20"/>
      <c r="F53" s="20"/>
      <c r="G53" s="20"/>
      <c r="H53" s="20"/>
      <c r="I53" s="24"/>
      <c r="J53" s="24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9"/>
      <c r="D54" s="20"/>
      <c r="E54" s="20"/>
      <c r="F54" s="20"/>
      <c r="G54" s="20"/>
      <c r="H54" s="20"/>
      <c r="I54" s="24"/>
      <c r="J54" s="24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9"/>
      <c r="D55" s="20"/>
      <c r="E55" s="20"/>
      <c r="F55" s="20"/>
      <c r="G55" s="20"/>
      <c r="H55" s="20"/>
      <c r="I55" s="24"/>
      <c r="J55" s="24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9"/>
      <c r="D56" s="20"/>
      <c r="E56" s="20"/>
      <c r="F56" s="20"/>
      <c r="G56" s="20"/>
      <c r="H56" s="20"/>
      <c r="I56" s="24"/>
      <c r="J56" s="24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9"/>
      <c r="D57" s="20"/>
      <c r="E57" s="20"/>
      <c r="F57" s="20"/>
      <c r="G57" s="20"/>
      <c r="H57" s="20"/>
      <c r="I57" s="24"/>
      <c r="J57" s="24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9"/>
      <c r="D58" s="20"/>
      <c r="E58" s="20"/>
      <c r="F58" s="20"/>
      <c r="G58" s="20"/>
      <c r="H58" s="20"/>
      <c r="I58" s="24"/>
      <c r="J58" s="24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9"/>
      <c r="D59" s="20"/>
      <c r="E59" s="20"/>
      <c r="F59" s="20"/>
      <c r="G59" s="20"/>
      <c r="H59" s="20"/>
      <c r="I59" s="24"/>
      <c r="J59" s="24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9"/>
      <c r="D60" s="20"/>
      <c r="E60" s="20"/>
      <c r="F60" s="20"/>
      <c r="G60" s="20"/>
      <c r="H60" s="20"/>
      <c r="I60" s="24"/>
      <c r="J60" s="24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9"/>
      <c r="D61" s="20"/>
      <c r="E61" s="20"/>
      <c r="F61" s="20"/>
      <c r="G61" s="20"/>
      <c r="H61" s="20"/>
      <c r="I61" s="24"/>
      <c r="J61" s="24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9"/>
      <c r="D62" s="20"/>
      <c r="E62" s="20"/>
      <c r="F62" s="20"/>
      <c r="G62" s="20"/>
      <c r="H62" s="20"/>
      <c r="I62" s="24"/>
      <c r="J62" s="24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9"/>
      <c r="D63" s="20"/>
      <c r="E63" s="20"/>
      <c r="F63" s="20"/>
      <c r="G63" s="20"/>
      <c r="H63" s="20"/>
      <c r="I63" s="24"/>
      <c r="J63" s="24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9"/>
      <c r="D64" s="20"/>
      <c r="E64" s="20"/>
      <c r="F64" s="20"/>
      <c r="G64" s="20"/>
      <c r="H64" s="20"/>
      <c r="I64" s="24"/>
      <c r="J64" s="24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9"/>
      <c r="D65" s="20"/>
      <c r="E65" s="20"/>
      <c r="F65" s="20"/>
      <c r="G65" s="20"/>
      <c r="H65" s="20"/>
      <c r="I65" s="24"/>
      <c r="J65" s="24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9"/>
      <c r="D66" s="20"/>
      <c r="E66" s="20"/>
      <c r="F66" s="20"/>
      <c r="G66" s="20"/>
      <c r="H66" s="20"/>
      <c r="I66" s="24"/>
      <c r="J66" s="24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9"/>
      <c r="D67" s="20"/>
      <c r="E67" s="20"/>
      <c r="F67" s="20"/>
      <c r="G67" s="20"/>
      <c r="H67" s="20"/>
      <c r="I67" s="24"/>
      <c r="J67" s="24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9"/>
      <c r="D68" s="20"/>
      <c r="E68" s="20"/>
      <c r="F68" s="20"/>
      <c r="G68" s="20"/>
      <c r="H68" s="20"/>
      <c r="I68" s="24"/>
      <c r="J68" s="24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9"/>
      <c r="D69" s="20"/>
      <c r="E69" s="20"/>
      <c r="F69" s="20"/>
      <c r="G69" s="20"/>
      <c r="H69" s="20"/>
      <c r="I69" s="24"/>
      <c r="J69" s="24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9"/>
      <c r="D70" s="20"/>
      <c r="E70" s="20"/>
      <c r="F70" s="20"/>
      <c r="G70" s="20"/>
      <c r="H70" s="20"/>
      <c r="I70" s="24"/>
      <c r="J70" s="24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9"/>
      <c r="D71" s="20"/>
      <c r="E71" s="20"/>
      <c r="F71" s="20"/>
      <c r="G71" s="20"/>
      <c r="H71" s="20"/>
      <c r="I71" s="24"/>
      <c r="J71" s="24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9"/>
      <c r="D72" s="20"/>
      <c r="E72" s="20"/>
      <c r="F72" s="20"/>
      <c r="G72" s="20"/>
      <c r="H72" s="20"/>
      <c r="I72" s="24"/>
      <c r="J72" s="24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9"/>
      <c r="D73" s="20"/>
      <c r="E73" s="20"/>
      <c r="F73" s="20"/>
      <c r="G73" s="20"/>
      <c r="H73" s="20"/>
      <c r="I73" s="24"/>
      <c r="J73" s="24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9"/>
      <c r="D74" s="20"/>
      <c r="E74" s="20"/>
      <c r="F74" s="20"/>
      <c r="G74" s="20"/>
      <c r="H74" s="20"/>
      <c r="I74" s="24"/>
      <c r="J74" s="24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9"/>
      <c r="D75" s="20"/>
      <c r="E75" s="20"/>
      <c r="F75" s="20"/>
      <c r="G75" s="20"/>
      <c r="H75" s="20"/>
      <c r="I75" s="24"/>
      <c r="J75" s="24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9"/>
      <c r="D76" s="20"/>
      <c r="E76" s="20"/>
      <c r="F76" s="20"/>
      <c r="G76" s="20"/>
      <c r="H76" s="20"/>
      <c r="I76" s="24"/>
      <c r="J76" s="24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9"/>
      <c r="D77" s="20"/>
      <c r="E77" s="20"/>
      <c r="F77" s="20"/>
      <c r="G77" s="20"/>
      <c r="H77" s="20"/>
      <c r="I77" s="24"/>
      <c r="J77" s="24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9"/>
      <c r="D78" s="20"/>
      <c r="E78" s="20"/>
      <c r="F78" s="20"/>
      <c r="G78" s="20"/>
      <c r="H78" s="20"/>
      <c r="I78" s="24"/>
      <c r="J78" s="24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9"/>
      <c r="D79" s="20"/>
      <c r="E79" s="20"/>
      <c r="F79" s="20"/>
      <c r="G79" s="20"/>
      <c r="H79" s="20"/>
      <c r="I79" s="24"/>
      <c r="J79" s="24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9"/>
      <c r="D80" s="20"/>
      <c r="E80" s="20"/>
      <c r="F80" s="20"/>
      <c r="G80" s="20"/>
      <c r="H80" s="20"/>
      <c r="I80" s="24"/>
      <c r="J80" s="24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9"/>
      <c r="D81" s="20"/>
      <c r="E81" s="20"/>
      <c r="F81" s="20"/>
      <c r="G81" s="20"/>
      <c r="H81" s="20"/>
      <c r="I81" s="24"/>
      <c r="J81" s="24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9"/>
      <c r="D82" s="20"/>
      <c r="E82" s="20"/>
      <c r="F82" s="20"/>
      <c r="G82" s="20"/>
      <c r="H82" s="20"/>
      <c r="I82" s="24"/>
      <c r="J82" s="24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9"/>
      <c r="D83" s="20"/>
      <c r="E83" s="20"/>
      <c r="F83" s="20"/>
      <c r="G83" s="20"/>
      <c r="H83" s="20"/>
      <c r="I83" s="24"/>
      <c r="J83" s="24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9"/>
      <c r="D84" s="20"/>
      <c r="E84" s="20"/>
      <c r="F84" s="20"/>
      <c r="G84" s="20"/>
      <c r="H84" s="20"/>
      <c r="I84" s="24"/>
      <c r="J84" s="24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9"/>
      <c r="D85" s="20"/>
      <c r="E85" s="20"/>
      <c r="F85" s="20"/>
      <c r="G85" s="20"/>
      <c r="H85" s="20"/>
      <c r="I85" s="24"/>
      <c r="J85" s="24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9"/>
      <c r="D86" s="20"/>
      <c r="E86" s="20"/>
      <c r="F86" s="20"/>
      <c r="G86" s="20"/>
      <c r="H86" s="20"/>
      <c r="I86" s="24"/>
      <c r="J86" s="24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9"/>
      <c r="D87" s="20"/>
      <c r="E87" s="20"/>
      <c r="F87" s="20"/>
      <c r="G87" s="20"/>
      <c r="H87" s="20"/>
      <c r="I87" s="24"/>
      <c r="J87" s="24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9"/>
      <c r="D88" s="20"/>
      <c r="E88" s="20"/>
      <c r="F88" s="20"/>
      <c r="G88" s="20"/>
      <c r="H88" s="20"/>
      <c r="I88" s="24"/>
      <c r="J88" s="24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9"/>
      <c r="D89" s="20"/>
      <c r="E89" s="20"/>
      <c r="F89" s="20"/>
      <c r="G89" s="20"/>
      <c r="H89" s="20"/>
      <c r="I89" s="24"/>
      <c r="J89" s="24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9"/>
      <c r="D90" s="20"/>
      <c r="E90" s="20"/>
      <c r="F90" s="20"/>
      <c r="G90" s="20"/>
      <c r="H90" s="20"/>
      <c r="I90" s="24"/>
      <c r="J90" s="24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9"/>
      <c r="D91" s="20"/>
      <c r="E91" s="20"/>
      <c r="F91" s="20"/>
      <c r="G91" s="20"/>
      <c r="H91" s="20"/>
      <c r="I91" s="24"/>
      <c r="J91" s="24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9"/>
      <c r="D92" s="20"/>
      <c r="E92" s="20"/>
      <c r="F92" s="20"/>
      <c r="G92" s="20"/>
      <c r="H92" s="20"/>
      <c r="I92" s="24"/>
      <c r="J92" s="24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9"/>
      <c r="D93" s="20"/>
      <c r="E93" s="20"/>
      <c r="F93" s="20"/>
      <c r="G93" s="20"/>
      <c r="H93" s="20"/>
      <c r="I93" s="24"/>
      <c r="J93" s="24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9"/>
      <c r="D94" s="20"/>
      <c r="E94" s="20"/>
      <c r="F94" s="20"/>
      <c r="G94" s="20"/>
      <c r="H94" s="20"/>
      <c r="I94" s="24"/>
      <c r="J94" s="24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9"/>
      <c r="D95" s="20"/>
      <c r="E95" s="20"/>
      <c r="F95" s="20"/>
      <c r="G95" s="20"/>
      <c r="H95" s="20"/>
      <c r="I95" s="24"/>
      <c r="J95" s="24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9"/>
      <c r="D96" s="20"/>
      <c r="E96" s="20"/>
      <c r="F96" s="20"/>
      <c r="G96" s="20"/>
      <c r="H96" s="20"/>
      <c r="I96" s="24"/>
      <c r="J96" s="24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9"/>
      <c r="D97" s="20"/>
      <c r="E97" s="20"/>
      <c r="F97" s="20"/>
      <c r="G97" s="20"/>
      <c r="H97" s="20"/>
      <c r="I97" s="24"/>
      <c r="J97" s="24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9"/>
      <c r="D98" s="20"/>
      <c r="E98" s="20"/>
      <c r="F98" s="20"/>
      <c r="G98" s="20"/>
      <c r="H98" s="20"/>
      <c r="I98" s="24"/>
      <c r="J98" s="24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9"/>
      <c r="D99" s="20"/>
      <c r="E99" s="20"/>
      <c r="F99" s="20"/>
      <c r="G99" s="20"/>
      <c r="H99" s="20"/>
      <c r="I99" s="24"/>
      <c r="J99" s="24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9"/>
      <c r="D100" s="20"/>
      <c r="E100" s="20"/>
      <c r="F100" s="20"/>
      <c r="G100" s="20"/>
      <c r="H100" s="20"/>
      <c r="I100" s="24"/>
      <c r="J100" s="24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9"/>
      <c r="D101" s="20"/>
      <c r="E101" s="20"/>
      <c r="F101" s="20"/>
      <c r="G101" s="20"/>
      <c r="H101" s="20"/>
      <c r="I101" s="24"/>
      <c r="J101" s="24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9"/>
      <c r="D102" s="20"/>
      <c r="E102" s="20"/>
      <c r="F102" s="20"/>
      <c r="G102" s="20"/>
      <c r="H102" s="20"/>
      <c r="I102" s="24"/>
      <c r="J102" s="24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9"/>
      <c r="D103" s="20"/>
      <c r="E103" s="20"/>
      <c r="F103" s="20"/>
      <c r="G103" s="20"/>
      <c r="H103" s="20"/>
      <c r="I103" s="24"/>
      <c r="J103" s="24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9"/>
      <c r="D104" s="20"/>
      <c r="E104" s="20"/>
      <c r="F104" s="20"/>
      <c r="G104" s="20"/>
      <c r="H104" s="20"/>
      <c r="I104" s="24"/>
      <c r="J104" s="24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9"/>
      <c r="D105" s="20"/>
      <c r="E105" s="20"/>
      <c r="F105" s="20"/>
      <c r="G105" s="20"/>
      <c r="H105" s="20"/>
      <c r="I105" s="24"/>
      <c r="J105" s="24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9"/>
      <c r="D106" s="20"/>
      <c r="E106" s="20"/>
      <c r="F106" s="20"/>
      <c r="G106" s="20"/>
      <c r="H106" s="20"/>
      <c r="I106" s="24"/>
      <c r="J106" s="24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9"/>
      <c r="D107" s="20"/>
      <c r="E107" s="20"/>
      <c r="F107" s="20"/>
      <c r="G107" s="20"/>
      <c r="H107" s="20"/>
      <c r="I107" s="24"/>
      <c r="J107" s="24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9"/>
      <c r="D108" s="20"/>
      <c r="E108" s="20"/>
      <c r="F108" s="20"/>
      <c r="G108" s="20"/>
      <c r="H108" s="20"/>
      <c r="I108" s="24"/>
      <c r="J108" s="2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9"/>
      <c r="D109" s="20"/>
      <c r="E109" s="20"/>
      <c r="F109" s="20"/>
      <c r="G109" s="20"/>
      <c r="H109" s="20"/>
      <c r="I109" s="24"/>
      <c r="J109" s="24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9"/>
      <c r="D110" s="20"/>
      <c r="E110" s="20"/>
      <c r="F110" s="20"/>
      <c r="G110" s="20"/>
      <c r="H110" s="20"/>
      <c r="I110" s="24"/>
      <c r="J110" s="24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9"/>
      <c r="D111" s="20"/>
      <c r="E111" s="20"/>
      <c r="F111" s="20"/>
      <c r="G111" s="20"/>
      <c r="H111" s="20"/>
      <c r="I111" s="24"/>
      <c r="J111" s="24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9"/>
      <c r="D112" s="20"/>
      <c r="E112" s="20"/>
      <c r="F112" s="20"/>
      <c r="G112" s="20"/>
      <c r="H112" s="20"/>
      <c r="I112" s="24"/>
      <c r="J112" s="24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9"/>
      <c r="D113" s="20"/>
      <c r="E113" s="20"/>
      <c r="F113" s="20"/>
      <c r="G113" s="20"/>
      <c r="H113" s="20"/>
      <c r="I113" s="24"/>
      <c r="J113" s="24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9"/>
      <c r="D114" s="20"/>
      <c r="E114" s="20"/>
      <c r="F114" s="20"/>
      <c r="G114" s="20"/>
      <c r="H114" s="20"/>
      <c r="I114" s="24"/>
      <c r="J114" s="24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9"/>
      <c r="D115" s="20"/>
      <c r="E115" s="20"/>
      <c r="F115" s="20"/>
      <c r="G115" s="20"/>
      <c r="H115" s="20"/>
      <c r="I115" s="24"/>
      <c r="J115" s="24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9"/>
      <c r="D116" s="20"/>
      <c r="E116" s="20"/>
      <c r="F116" s="20"/>
      <c r="G116" s="20"/>
      <c r="H116" s="20"/>
      <c r="I116" s="24"/>
      <c r="J116" s="24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9"/>
      <c r="D117" s="20"/>
      <c r="E117" s="20"/>
      <c r="F117" s="20"/>
      <c r="G117" s="20"/>
      <c r="H117" s="20"/>
      <c r="I117" s="24"/>
      <c r="J117" s="24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9"/>
      <c r="D118" s="20"/>
      <c r="E118" s="20"/>
      <c r="F118" s="20"/>
      <c r="G118" s="20"/>
      <c r="H118" s="20"/>
      <c r="I118" s="24"/>
      <c r="J118" s="24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9"/>
      <c r="D119" s="20"/>
      <c r="E119" s="20"/>
      <c r="F119" s="20"/>
      <c r="G119" s="20"/>
      <c r="H119" s="20"/>
      <c r="I119" s="24"/>
      <c r="J119" s="24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9"/>
      <c r="D120" s="20"/>
      <c r="E120" s="20"/>
      <c r="F120" s="20"/>
      <c r="G120" s="20"/>
      <c r="H120" s="20"/>
      <c r="I120" s="24"/>
      <c r="J120" s="24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9"/>
      <c r="D121" s="20"/>
      <c r="E121" s="20"/>
      <c r="F121" s="20"/>
      <c r="G121" s="20"/>
      <c r="H121" s="20"/>
      <c r="I121" s="24"/>
      <c r="J121" s="24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9"/>
      <c r="D122" s="20"/>
      <c r="E122" s="20"/>
      <c r="F122" s="20"/>
      <c r="G122" s="20"/>
      <c r="H122" s="20"/>
      <c r="I122" s="24"/>
      <c r="J122" s="24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9"/>
      <c r="D123" s="20"/>
      <c r="E123" s="20"/>
      <c r="F123" s="20"/>
      <c r="G123" s="20"/>
      <c r="H123" s="20"/>
      <c r="I123" s="24"/>
      <c r="J123" s="24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9"/>
      <c r="D124" s="20"/>
      <c r="E124" s="20"/>
      <c r="F124" s="20"/>
      <c r="G124" s="20"/>
      <c r="H124" s="20"/>
      <c r="I124" s="24"/>
      <c r="J124" s="24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9"/>
      <c r="D125" s="20"/>
      <c r="E125" s="20"/>
      <c r="F125" s="20"/>
      <c r="G125" s="20"/>
      <c r="H125" s="20"/>
      <c r="I125" s="24"/>
      <c r="J125" s="24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9"/>
      <c r="D126" s="20"/>
      <c r="E126" s="20"/>
      <c r="F126" s="20"/>
      <c r="G126" s="20"/>
      <c r="H126" s="20"/>
      <c r="I126" s="24"/>
      <c r="J126" s="24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9"/>
      <c r="D127" s="20"/>
      <c r="E127" s="20"/>
      <c r="F127" s="20"/>
      <c r="G127" s="20"/>
      <c r="H127" s="20"/>
      <c r="I127" s="24"/>
      <c r="J127" s="24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9"/>
      <c r="D128" s="20"/>
      <c r="E128" s="20"/>
      <c r="F128" s="20"/>
      <c r="G128" s="20"/>
      <c r="H128" s="20"/>
      <c r="I128" s="24"/>
      <c r="J128" s="24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9"/>
      <c r="D129" s="20"/>
      <c r="E129" s="20"/>
      <c r="F129" s="20"/>
      <c r="G129" s="20"/>
      <c r="H129" s="20"/>
      <c r="I129" s="24"/>
      <c r="J129" s="24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9"/>
      <c r="D130" s="20"/>
      <c r="E130" s="20"/>
      <c r="F130" s="20"/>
      <c r="G130" s="20"/>
      <c r="H130" s="20"/>
      <c r="I130" s="24"/>
      <c r="J130" s="24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9"/>
      <c r="D131" s="20"/>
      <c r="E131" s="20"/>
      <c r="F131" s="20"/>
      <c r="G131" s="20"/>
      <c r="H131" s="20"/>
      <c r="I131" s="24"/>
      <c r="J131" s="24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9"/>
      <c r="D132" s="20"/>
      <c r="E132" s="20"/>
      <c r="F132" s="20"/>
      <c r="G132" s="20"/>
      <c r="H132" s="20"/>
      <c r="I132" s="24"/>
      <c r="J132" s="24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9"/>
      <c r="D133" s="20"/>
      <c r="E133" s="20"/>
      <c r="F133" s="20"/>
      <c r="G133" s="20"/>
      <c r="H133" s="20"/>
      <c r="I133" s="24"/>
      <c r="J133" s="24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9"/>
      <c r="D134" s="20"/>
      <c r="E134" s="20"/>
      <c r="F134" s="20"/>
      <c r="G134" s="20"/>
      <c r="H134" s="20"/>
      <c r="I134" s="24"/>
      <c r="J134" s="24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9"/>
      <c r="D135" s="20"/>
      <c r="E135" s="20"/>
      <c r="F135" s="20"/>
      <c r="G135" s="20"/>
      <c r="H135" s="20"/>
      <c r="I135" s="24"/>
      <c r="J135" s="24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9"/>
      <c r="D136" s="20"/>
      <c r="E136" s="20"/>
      <c r="F136" s="20"/>
      <c r="G136" s="20"/>
      <c r="H136" s="20"/>
      <c r="I136" s="24"/>
      <c r="J136" s="24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9"/>
      <c r="D137" s="20"/>
      <c r="E137" s="20"/>
      <c r="F137" s="20"/>
      <c r="G137" s="20"/>
      <c r="H137" s="20"/>
      <c r="I137" s="24"/>
      <c r="J137" s="24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9"/>
      <c r="D138" s="20"/>
      <c r="E138" s="20"/>
      <c r="F138" s="20"/>
      <c r="G138" s="20"/>
      <c r="H138" s="20"/>
      <c r="I138" s="24"/>
      <c r="J138" s="24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9"/>
      <c r="D139" s="20"/>
      <c r="E139" s="20"/>
      <c r="F139" s="20"/>
      <c r="G139" s="20"/>
      <c r="H139" s="20"/>
      <c r="I139" s="24"/>
      <c r="J139" s="24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9"/>
      <c r="D140" s="20"/>
      <c r="E140" s="20"/>
      <c r="F140" s="20"/>
      <c r="G140" s="20"/>
      <c r="H140" s="20"/>
      <c r="I140" s="24"/>
      <c r="J140" s="24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9"/>
      <c r="D141" s="20"/>
      <c r="E141" s="20"/>
      <c r="F141" s="20"/>
      <c r="G141" s="20"/>
      <c r="H141" s="20"/>
      <c r="I141" s="24"/>
      <c r="J141" s="24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9"/>
      <c r="D142" s="20"/>
      <c r="E142" s="20"/>
      <c r="F142" s="20"/>
      <c r="G142" s="20"/>
      <c r="H142" s="20"/>
      <c r="I142" s="24"/>
      <c r="J142" s="24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9"/>
      <c r="D143" s="20"/>
      <c r="E143" s="20"/>
      <c r="F143" s="20"/>
      <c r="G143" s="20"/>
      <c r="H143" s="20"/>
      <c r="I143" s="24"/>
      <c r="J143" s="24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9"/>
      <c r="D144" s="20"/>
      <c r="E144" s="20"/>
      <c r="F144" s="20"/>
      <c r="G144" s="20"/>
      <c r="H144" s="20"/>
      <c r="I144" s="24"/>
      <c r="J144" s="24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9"/>
      <c r="D145" s="20"/>
      <c r="E145" s="20"/>
      <c r="F145" s="20"/>
      <c r="G145" s="20"/>
      <c r="H145" s="20"/>
      <c r="I145" s="24"/>
      <c r="J145" s="24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9"/>
      <c r="D146" s="20"/>
      <c r="E146" s="20"/>
      <c r="F146" s="20"/>
      <c r="G146" s="20"/>
      <c r="H146" s="20"/>
      <c r="I146" s="24"/>
      <c r="J146" s="24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9"/>
      <c r="D147" s="20"/>
      <c r="E147" s="20"/>
      <c r="F147" s="20"/>
      <c r="G147" s="20"/>
      <c r="H147" s="20"/>
      <c r="I147" s="24"/>
      <c r="J147" s="24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9"/>
      <c r="D148" s="20"/>
      <c r="E148" s="20"/>
      <c r="F148" s="20"/>
      <c r="G148" s="20"/>
      <c r="H148" s="20"/>
      <c r="I148" s="24"/>
      <c r="J148" s="24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9"/>
      <c r="D149" s="20"/>
      <c r="E149" s="20"/>
      <c r="F149" s="20"/>
      <c r="G149" s="20"/>
      <c r="H149" s="20"/>
      <c r="I149" s="24"/>
      <c r="J149" s="24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9"/>
      <c r="D150" s="20"/>
      <c r="E150" s="20"/>
      <c r="F150" s="20"/>
      <c r="G150" s="20"/>
      <c r="H150" s="20"/>
      <c r="I150" s="24"/>
      <c r="J150" s="24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9"/>
      <c r="D151" s="20"/>
      <c r="E151" s="20"/>
      <c r="F151" s="20"/>
      <c r="G151" s="20"/>
      <c r="H151" s="20"/>
      <c r="I151" s="24"/>
      <c r="J151" s="24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9"/>
      <c r="D152" s="20"/>
      <c r="E152" s="20"/>
      <c r="F152" s="20"/>
      <c r="G152" s="20"/>
      <c r="H152" s="20"/>
      <c r="I152" s="24"/>
      <c r="J152" s="24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9"/>
      <c r="D153" s="20"/>
      <c r="E153" s="20"/>
      <c r="F153" s="20"/>
      <c r="G153" s="20"/>
      <c r="H153" s="20"/>
      <c r="I153" s="24"/>
      <c r="J153" s="24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9"/>
      <c r="D154" s="20"/>
      <c r="E154" s="20"/>
      <c r="F154" s="20"/>
      <c r="G154" s="20"/>
      <c r="H154" s="20"/>
      <c r="I154" s="24"/>
      <c r="J154" s="24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9"/>
      <c r="D155" s="20"/>
      <c r="E155" s="20"/>
      <c r="F155" s="20"/>
      <c r="G155" s="20"/>
      <c r="H155" s="20"/>
      <c r="I155" s="24"/>
      <c r="J155" s="24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9"/>
      <c r="D156" s="20"/>
      <c r="E156" s="20"/>
      <c r="F156" s="20"/>
      <c r="G156" s="20"/>
      <c r="H156" s="20"/>
      <c r="I156" s="24"/>
      <c r="J156" s="24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9"/>
      <c r="D157" s="20"/>
      <c r="E157" s="20"/>
      <c r="F157" s="20"/>
      <c r="G157" s="20"/>
      <c r="H157" s="20"/>
      <c r="I157" s="24"/>
      <c r="J157" s="24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9"/>
      <c r="D158" s="20"/>
      <c r="E158" s="20"/>
      <c r="F158" s="20"/>
      <c r="G158" s="20"/>
      <c r="H158" s="20"/>
      <c r="I158" s="24"/>
      <c r="J158" s="24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9"/>
      <c r="D159" s="20"/>
      <c r="E159" s="20"/>
      <c r="F159" s="20"/>
      <c r="G159" s="20"/>
      <c r="H159" s="20"/>
      <c r="I159" s="24"/>
      <c r="J159" s="24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9"/>
      <c r="D160" s="20"/>
      <c r="E160" s="20"/>
      <c r="F160" s="20"/>
      <c r="G160" s="20"/>
      <c r="H160" s="20"/>
      <c r="I160" s="24"/>
      <c r="J160" s="24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9"/>
      <c r="D161" s="20"/>
      <c r="E161" s="20"/>
      <c r="F161" s="20"/>
      <c r="G161" s="20"/>
      <c r="H161" s="20"/>
      <c r="I161" s="24"/>
      <c r="J161" s="24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9"/>
      <c r="D162" s="20"/>
      <c r="E162" s="20"/>
      <c r="F162" s="20"/>
      <c r="G162" s="20"/>
      <c r="H162" s="20"/>
      <c r="I162" s="24"/>
      <c r="J162" s="24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9"/>
      <c r="D163" s="20"/>
      <c r="E163" s="20"/>
      <c r="F163" s="20"/>
      <c r="G163" s="20"/>
      <c r="H163" s="20"/>
      <c r="I163" s="24"/>
      <c r="J163" s="24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9"/>
      <c r="D164" s="20"/>
      <c r="E164" s="20"/>
      <c r="F164" s="20"/>
      <c r="G164" s="20"/>
      <c r="H164" s="20"/>
      <c r="I164" s="24"/>
      <c r="J164" s="24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9"/>
      <c r="D165" s="20"/>
      <c r="E165" s="20"/>
      <c r="F165" s="20"/>
      <c r="G165" s="20"/>
      <c r="H165" s="20"/>
      <c r="I165" s="24"/>
      <c r="J165" s="24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9"/>
      <c r="D166" s="20"/>
      <c r="E166" s="20"/>
      <c r="F166" s="20"/>
      <c r="G166" s="20"/>
      <c r="H166" s="20"/>
      <c r="I166" s="24"/>
      <c r="J166" s="24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9"/>
      <c r="D167" s="20"/>
      <c r="E167" s="20"/>
      <c r="F167" s="20"/>
      <c r="G167" s="20"/>
      <c r="H167" s="20"/>
      <c r="I167" s="24"/>
      <c r="J167" s="24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9"/>
      <c r="D168" s="20"/>
      <c r="E168" s="20"/>
      <c r="F168" s="20"/>
      <c r="G168" s="20"/>
      <c r="H168" s="20"/>
      <c r="I168" s="24"/>
      <c r="J168" s="24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9"/>
      <c r="D169" s="20"/>
      <c r="E169" s="20"/>
      <c r="F169" s="20"/>
      <c r="G169" s="20"/>
      <c r="H169" s="20"/>
      <c r="I169" s="24"/>
      <c r="J169" s="24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9"/>
      <c r="D170" s="20"/>
      <c r="E170" s="20"/>
      <c r="F170" s="20"/>
      <c r="G170" s="20"/>
      <c r="H170" s="20"/>
      <c r="I170" s="24"/>
      <c r="J170" s="24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9"/>
      <c r="D171" s="20"/>
      <c r="E171" s="20"/>
      <c r="F171" s="20"/>
      <c r="G171" s="20"/>
      <c r="H171" s="20"/>
      <c r="I171" s="24"/>
      <c r="J171" s="24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9"/>
      <c r="D172" s="20"/>
      <c r="E172" s="20"/>
      <c r="F172" s="20"/>
      <c r="G172" s="20"/>
      <c r="H172" s="20"/>
      <c r="I172" s="24"/>
      <c r="J172" s="24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9"/>
      <c r="D173" s="20"/>
      <c r="E173" s="20"/>
      <c r="F173" s="20"/>
      <c r="G173" s="20"/>
      <c r="H173" s="20"/>
      <c r="I173" s="24"/>
      <c r="J173" s="24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9"/>
      <c r="D174" s="20"/>
      <c r="E174" s="20"/>
      <c r="F174" s="20"/>
      <c r="G174" s="20"/>
      <c r="H174" s="20"/>
      <c r="I174" s="24"/>
      <c r="J174" s="24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9"/>
      <c r="D175" s="20"/>
      <c r="E175" s="20"/>
      <c r="F175" s="20"/>
      <c r="G175" s="20"/>
      <c r="H175" s="20"/>
      <c r="I175" s="24"/>
      <c r="J175" s="24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9"/>
      <c r="D176" s="20"/>
      <c r="E176" s="20"/>
      <c r="F176" s="20"/>
      <c r="G176" s="20"/>
      <c r="H176" s="20"/>
      <c r="I176" s="24"/>
      <c r="J176" s="24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9"/>
      <c r="D177" s="20"/>
      <c r="E177" s="20"/>
      <c r="F177" s="20"/>
      <c r="G177" s="20"/>
      <c r="H177" s="20"/>
      <c r="I177" s="24"/>
      <c r="J177" s="24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9"/>
      <c r="D178" s="20"/>
      <c r="E178" s="20"/>
      <c r="F178" s="20"/>
      <c r="G178" s="20"/>
      <c r="H178" s="20"/>
      <c r="I178" s="24"/>
      <c r="J178" s="24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9"/>
      <c r="D179" s="20"/>
      <c r="E179" s="20"/>
      <c r="F179" s="20"/>
      <c r="G179" s="20"/>
      <c r="H179" s="20"/>
      <c r="I179" s="24"/>
      <c r="J179" s="24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9"/>
      <c r="D180" s="20"/>
      <c r="E180" s="20"/>
      <c r="F180" s="20"/>
      <c r="G180" s="20"/>
      <c r="H180" s="20"/>
      <c r="I180" s="24"/>
      <c r="J180" s="24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9"/>
      <c r="D181" s="20"/>
      <c r="E181" s="20"/>
      <c r="F181" s="20"/>
      <c r="G181" s="20"/>
      <c r="H181" s="20"/>
      <c r="I181" s="24"/>
      <c r="J181" s="24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9"/>
      <c r="D182" s="20"/>
      <c r="E182" s="20"/>
      <c r="F182" s="20"/>
      <c r="G182" s="20"/>
      <c r="H182" s="20"/>
      <c r="I182" s="24"/>
      <c r="J182" s="24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9"/>
      <c r="D183" s="20"/>
      <c r="E183" s="20"/>
      <c r="F183" s="20"/>
      <c r="G183" s="20"/>
      <c r="H183" s="20"/>
      <c r="I183" s="24"/>
      <c r="J183" s="24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9"/>
      <c r="D184" s="20"/>
      <c r="E184" s="20"/>
      <c r="F184" s="20"/>
      <c r="G184" s="20"/>
      <c r="H184" s="20"/>
      <c r="I184" s="24"/>
      <c r="J184" s="24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9"/>
      <c r="D185" s="20"/>
      <c r="E185" s="20"/>
      <c r="F185" s="20"/>
      <c r="G185" s="20"/>
      <c r="H185" s="20"/>
      <c r="I185" s="24"/>
      <c r="J185" s="24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9"/>
      <c r="D186" s="20"/>
      <c r="E186" s="20"/>
      <c r="F186" s="20"/>
      <c r="G186" s="20"/>
      <c r="H186" s="20"/>
      <c r="I186" s="24"/>
      <c r="J186" s="24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9"/>
      <c r="D187" s="20"/>
      <c r="E187" s="20"/>
      <c r="F187" s="20"/>
      <c r="G187" s="20"/>
      <c r="H187" s="20"/>
      <c r="I187" s="24"/>
      <c r="J187" s="24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9"/>
      <c r="D188" s="20"/>
      <c r="E188" s="20"/>
      <c r="F188" s="20"/>
      <c r="G188" s="20"/>
      <c r="H188" s="20"/>
      <c r="I188" s="24"/>
      <c r="J188" s="24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9"/>
      <c r="D189" s="20"/>
      <c r="E189" s="20"/>
      <c r="F189" s="20"/>
      <c r="G189" s="20"/>
      <c r="H189" s="20"/>
      <c r="I189" s="24"/>
      <c r="J189" s="24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9"/>
      <c r="D190" s="20"/>
      <c r="E190" s="20"/>
      <c r="F190" s="20"/>
      <c r="G190" s="20"/>
      <c r="H190" s="20"/>
      <c r="I190" s="24"/>
      <c r="J190" s="24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9"/>
      <c r="D191" s="20"/>
      <c r="E191" s="20"/>
      <c r="F191" s="20"/>
      <c r="G191" s="20"/>
      <c r="H191" s="20"/>
      <c r="I191" s="24"/>
      <c r="J191" s="24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9"/>
      <c r="D192" s="20"/>
      <c r="E192" s="20"/>
      <c r="F192" s="20"/>
      <c r="G192" s="20"/>
      <c r="H192" s="20"/>
      <c r="I192" s="24"/>
      <c r="J192" s="24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9"/>
      <c r="D193" s="20"/>
      <c r="E193" s="20"/>
      <c r="F193" s="20"/>
      <c r="G193" s="20"/>
      <c r="H193" s="20"/>
      <c r="I193" s="24"/>
      <c r="J193" s="24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9"/>
      <c r="D194" s="20"/>
      <c r="E194" s="20"/>
      <c r="F194" s="20"/>
      <c r="G194" s="20"/>
      <c r="H194" s="20"/>
      <c r="I194" s="24"/>
      <c r="J194" s="24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9"/>
      <c r="D195" s="20"/>
      <c r="E195" s="20"/>
      <c r="F195" s="20"/>
      <c r="G195" s="20"/>
      <c r="H195" s="20"/>
      <c r="I195" s="24"/>
      <c r="J195" s="24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9"/>
      <c r="D196" s="20"/>
      <c r="E196" s="20"/>
      <c r="F196" s="20"/>
      <c r="G196" s="20"/>
      <c r="H196" s="20"/>
      <c r="I196" s="24"/>
      <c r="J196" s="24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9"/>
      <c r="D197" s="20"/>
      <c r="E197" s="20"/>
      <c r="F197" s="20"/>
      <c r="G197" s="20"/>
      <c r="H197" s="20"/>
      <c r="I197" s="24"/>
      <c r="J197" s="24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9"/>
      <c r="D198" s="20"/>
      <c r="E198" s="20"/>
      <c r="F198" s="20"/>
      <c r="G198" s="20"/>
      <c r="H198" s="20"/>
      <c r="I198" s="24"/>
      <c r="J198" s="24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9"/>
      <c r="D199" s="20"/>
      <c r="E199" s="20"/>
      <c r="F199" s="20"/>
      <c r="G199" s="20"/>
      <c r="H199" s="20"/>
      <c r="I199" s="24"/>
      <c r="J199" s="24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9"/>
      <c r="D200" s="20"/>
      <c r="E200" s="20"/>
      <c r="F200" s="20"/>
      <c r="G200" s="20"/>
      <c r="H200" s="20"/>
      <c r="I200" s="24"/>
      <c r="J200" s="24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9"/>
      <c r="D201" s="20"/>
      <c r="E201" s="20"/>
      <c r="F201" s="20"/>
      <c r="G201" s="20"/>
      <c r="H201" s="20"/>
      <c r="I201" s="24"/>
      <c r="J201" s="24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9"/>
      <c r="D202" s="20"/>
      <c r="E202" s="20"/>
      <c r="F202" s="20"/>
      <c r="G202" s="20"/>
      <c r="H202" s="20"/>
      <c r="I202" s="24"/>
      <c r="J202" s="24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9"/>
      <c r="D203" s="20"/>
      <c r="E203" s="20"/>
      <c r="F203" s="20"/>
      <c r="G203" s="20"/>
      <c r="H203" s="20"/>
      <c r="I203" s="24"/>
      <c r="J203" s="24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9"/>
      <c r="D204" s="20"/>
      <c r="E204" s="20"/>
      <c r="F204" s="20"/>
      <c r="G204" s="20"/>
      <c r="H204" s="20"/>
      <c r="I204" s="24"/>
      <c r="J204" s="24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9"/>
      <c r="D205" s="20"/>
      <c r="E205" s="20"/>
      <c r="F205" s="20"/>
      <c r="G205" s="20"/>
      <c r="H205" s="20"/>
      <c r="I205" s="24"/>
      <c r="J205" s="24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9"/>
      <c r="D206" s="20"/>
      <c r="E206" s="20"/>
      <c r="F206" s="20"/>
      <c r="G206" s="20"/>
      <c r="H206" s="20"/>
      <c r="I206" s="24"/>
      <c r="J206" s="24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9"/>
      <c r="D207" s="20"/>
      <c r="E207" s="20"/>
      <c r="F207" s="20"/>
      <c r="G207" s="20"/>
      <c r="H207" s="20"/>
      <c r="I207" s="24"/>
      <c r="J207" s="24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9"/>
      <c r="D208" s="20"/>
      <c r="E208" s="20"/>
      <c r="F208" s="20"/>
      <c r="G208" s="20"/>
      <c r="H208" s="20"/>
      <c r="I208" s="24"/>
      <c r="J208" s="24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9"/>
      <c r="D209" s="20"/>
      <c r="E209" s="20"/>
      <c r="F209" s="20"/>
      <c r="G209" s="20"/>
      <c r="H209" s="20"/>
      <c r="I209" s="24"/>
      <c r="J209" s="24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9"/>
      <c r="D210" s="20"/>
      <c r="E210" s="20"/>
      <c r="F210" s="20"/>
      <c r="G210" s="20"/>
      <c r="H210" s="20"/>
      <c r="I210" s="24"/>
      <c r="J210" s="24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9"/>
      <c r="D211" s="20"/>
      <c r="E211" s="20"/>
      <c r="F211" s="20"/>
      <c r="G211" s="20"/>
      <c r="H211" s="20"/>
      <c r="I211" s="24"/>
      <c r="J211" s="24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9"/>
      <c r="D212" s="20"/>
      <c r="E212" s="20"/>
      <c r="F212" s="20"/>
      <c r="G212" s="20"/>
      <c r="H212" s="20"/>
      <c r="I212" s="24"/>
      <c r="J212" s="24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9"/>
      <c r="D213" s="20"/>
      <c r="E213" s="20"/>
      <c r="F213" s="20"/>
      <c r="G213" s="20"/>
      <c r="H213" s="20"/>
      <c r="I213" s="24"/>
      <c r="J213" s="24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9"/>
      <c r="D214" s="20"/>
      <c r="E214" s="20"/>
      <c r="F214" s="20"/>
      <c r="G214" s="20"/>
      <c r="H214" s="20"/>
      <c r="I214" s="24"/>
      <c r="J214" s="24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9"/>
      <c r="D215" s="20"/>
      <c r="E215" s="20"/>
      <c r="F215" s="20"/>
      <c r="G215" s="20"/>
      <c r="H215" s="20"/>
      <c r="I215" s="24"/>
      <c r="J215" s="24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9"/>
      <c r="D216" s="20"/>
      <c r="E216" s="20"/>
      <c r="F216" s="20"/>
      <c r="G216" s="20"/>
      <c r="H216" s="20"/>
      <c r="I216" s="24"/>
      <c r="J216" s="24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9"/>
      <c r="D217" s="20"/>
      <c r="E217" s="20"/>
      <c r="F217" s="20"/>
      <c r="G217" s="20"/>
      <c r="H217" s="20"/>
      <c r="I217" s="24"/>
      <c r="J217" s="24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9"/>
      <c r="D218" s="20"/>
      <c r="E218" s="20"/>
      <c r="F218" s="20"/>
      <c r="G218" s="20"/>
      <c r="H218" s="20"/>
      <c r="I218" s="24"/>
      <c r="J218" s="24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9"/>
      <c r="D219" s="20"/>
      <c r="E219" s="20"/>
      <c r="F219" s="20"/>
      <c r="G219" s="20"/>
      <c r="H219" s="20"/>
      <c r="I219" s="24"/>
      <c r="J219" s="24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9"/>
      <c r="D220" s="20"/>
      <c r="E220" s="20"/>
      <c r="F220" s="20"/>
      <c r="G220" s="20"/>
      <c r="H220" s="20"/>
      <c r="I220" s="24"/>
      <c r="J220" s="24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9"/>
      <c r="D221" s="20"/>
      <c r="E221" s="20"/>
      <c r="F221" s="20"/>
      <c r="G221" s="20"/>
      <c r="H221" s="20"/>
      <c r="I221" s="24"/>
      <c r="J221" s="24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9"/>
      <c r="D222" s="20"/>
      <c r="E222" s="20"/>
      <c r="F222" s="20"/>
      <c r="G222" s="20"/>
      <c r="H222" s="20"/>
      <c r="I222" s="24"/>
      <c r="J222" s="24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9"/>
      <c r="D223" s="20"/>
      <c r="E223" s="20"/>
      <c r="F223" s="20"/>
      <c r="G223" s="20"/>
      <c r="H223" s="20"/>
      <c r="I223" s="24"/>
      <c r="J223" s="24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9"/>
      <c r="D224" s="20"/>
      <c r="E224" s="20"/>
      <c r="F224" s="20"/>
      <c r="G224" s="20"/>
      <c r="H224" s="20"/>
      <c r="I224" s="24"/>
      <c r="J224" s="24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9"/>
      <c r="D225" s="20"/>
      <c r="E225" s="20"/>
      <c r="F225" s="20"/>
      <c r="G225" s="20"/>
      <c r="H225" s="20"/>
      <c r="I225" s="24"/>
      <c r="J225" s="24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9"/>
      <c r="D226" s="20"/>
      <c r="E226" s="20"/>
      <c r="F226" s="20"/>
      <c r="G226" s="20"/>
      <c r="H226" s="20"/>
      <c r="I226" s="24"/>
      <c r="J226" s="24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9"/>
      <c r="D227" s="20"/>
      <c r="E227" s="20"/>
      <c r="F227" s="20"/>
      <c r="G227" s="20"/>
      <c r="H227" s="20"/>
      <c r="I227" s="24"/>
      <c r="J227" s="24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9"/>
      <c r="D228" s="20"/>
      <c r="E228" s="20"/>
      <c r="F228" s="20"/>
      <c r="G228" s="20"/>
      <c r="H228" s="20"/>
      <c r="I228" s="24"/>
      <c r="J228" s="24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9"/>
      <c r="D229" s="20"/>
      <c r="E229" s="20"/>
      <c r="F229" s="20"/>
      <c r="G229" s="20"/>
      <c r="H229" s="20"/>
      <c r="I229" s="24"/>
      <c r="J229" s="24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9"/>
      <c r="D230" s="20"/>
      <c r="E230" s="20"/>
      <c r="F230" s="20"/>
      <c r="G230" s="20"/>
      <c r="H230" s="20"/>
      <c r="I230" s="24"/>
      <c r="J230" s="24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9"/>
      <c r="D231" s="20"/>
      <c r="E231" s="20"/>
      <c r="F231" s="20"/>
      <c r="G231" s="20"/>
      <c r="H231" s="20"/>
      <c r="I231" s="24"/>
      <c r="J231" s="24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9"/>
      <c r="D232" s="20"/>
      <c r="E232" s="20"/>
      <c r="F232" s="20"/>
      <c r="G232" s="20"/>
      <c r="H232" s="20"/>
      <c r="I232" s="24"/>
      <c r="J232" s="24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9"/>
      <c r="D233" s="20"/>
      <c r="E233" s="20"/>
      <c r="F233" s="20"/>
      <c r="G233" s="20"/>
      <c r="H233" s="20"/>
      <c r="I233" s="24"/>
      <c r="J233" s="24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9"/>
      <c r="D234" s="20"/>
      <c r="E234" s="20"/>
      <c r="F234" s="20"/>
      <c r="G234" s="20"/>
      <c r="H234" s="20"/>
      <c r="I234" s="24"/>
      <c r="J234" s="2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9"/>
      <c r="D235" s="20"/>
      <c r="E235" s="20"/>
      <c r="F235" s="20"/>
      <c r="G235" s="20"/>
      <c r="H235" s="20"/>
      <c r="I235" s="24"/>
      <c r="J235" s="2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9"/>
      <c r="D236" s="20"/>
      <c r="E236" s="20"/>
      <c r="F236" s="20"/>
      <c r="G236" s="20"/>
      <c r="H236" s="20"/>
      <c r="I236" s="24"/>
      <c r="J236" s="24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9"/>
      <c r="D237" s="20"/>
      <c r="E237" s="20"/>
      <c r="F237" s="20"/>
      <c r="G237" s="20"/>
      <c r="H237" s="20"/>
      <c r="I237" s="24"/>
      <c r="J237" s="24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9"/>
      <c r="D238" s="20"/>
      <c r="E238" s="20"/>
      <c r="F238" s="20"/>
      <c r="G238" s="20"/>
      <c r="H238" s="20"/>
      <c r="I238" s="24"/>
      <c r="J238" s="24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9"/>
      <c r="D239" s="20"/>
      <c r="E239" s="20"/>
      <c r="F239" s="20"/>
      <c r="G239" s="20"/>
      <c r="H239" s="20"/>
      <c r="I239" s="24"/>
      <c r="J239" s="24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9"/>
      <c r="D240" s="20"/>
      <c r="E240" s="20"/>
      <c r="F240" s="20"/>
      <c r="G240" s="20"/>
      <c r="H240" s="20"/>
      <c r="I240" s="24"/>
      <c r="J240" s="24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9"/>
      <c r="D241" s="20"/>
      <c r="E241" s="20"/>
      <c r="F241" s="20"/>
      <c r="G241" s="20"/>
      <c r="H241" s="20"/>
      <c r="I241" s="24"/>
      <c r="J241" s="24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9"/>
      <c r="D242" s="20"/>
      <c r="E242" s="20"/>
      <c r="F242" s="20"/>
      <c r="G242" s="20"/>
      <c r="H242" s="20"/>
      <c r="I242" s="24"/>
      <c r="J242" s="24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9"/>
      <c r="D243" s="20"/>
      <c r="E243" s="20"/>
      <c r="F243" s="20"/>
      <c r="G243" s="20"/>
      <c r="H243" s="20"/>
      <c r="I243" s="24"/>
      <c r="J243" s="24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9"/>
      <c r="D244" s="20"/>
      <c r="E244" s="20"/>
      <c r="F244" s="20"/>
      <c r="G244" s="20"/>
      <c r="H244" s="20"/>
      <c r="I244" s="24"/>
      <c r="J244" s="24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9"/>
      <c r="D245" s="20"/>
      <c r="E245" s="20"/>
      <c r="F245" s="20"/>
      <c r="G245" s="20"/>
      <c r="H245" s="20"/>
      <c r="I245" s="24"/>
      <c r="J245" s="24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9"/>
      <c r="D246" s="20"/>
      <c r="E246" s="20"/>
      <c r="F246" s="20"/>
      <c r="G246" s="20"/>
      <c r="H246" s="20"/>
      <c r="I246" s="24"/>
      <c r="J246" s="24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9"/>
      <c r="D247" s="20"/>
      <c r="E247" s="20"/>
      <c r="F247" s="20"/>
      <c r="G247" s="20"/>
      <c r="H247" s="20"/>
      <c r="I247" s="24"/>
      <c r="J247" s="24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9"/>
      <c r="D248" s="20"/>
      <c r="E248" s="20"/>
      <c r="F248" s="20"/>
      <c r="G248" s="20"/>
      <c r="H248" s="20"/>
      <c r="I248" s="24"/>
      <c r="J248" s="24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9"/>
      <c r="D249" s="20"/>
      <c r="E249" s="20"/>
      <c r="F249" s="20"/>
      <c r="G249" s="20"/>
      <c r="H249" s="20"/>
      <c r="I249" s="24"/>
      <c r="J249" s="24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9"/>
      <c r="D250" s="20"/>
      <c r="E250" s="20"/>
      <c r="F250" s="20"/>
      <c r="G250" s="20"/>
      <c r="H250" s="20"/>
      <c r="I250" s="24"/>
      <c r="J250" s="24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9"/>
      <c r="D251" s="20"/>
      <c r="E251" s="20"/>
      <c r="F251" s="20"/>
      <c r="G251" s="20"/>
      <c r="H251" s="20"/>
      <c r="I251" s="24"/>
      <c r="J251" s="24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9"/>
      <c r="D252" s="20"/>
      <c r="E252" s="20"/>
      <c r="F252" s="20"/>
      <c r="G252" s="20"/>
      <c r="H252" s="20"/>
      <c r="I252" s="24"/>
      <c r="J252" s="24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9"/>
      <c r="D253" s="20"/>
      <c r="E253" s="20"/>
      <c r="F253" s="20"/>
      <c r="G253" s="20"/>
      <c r="H253" s="20"/>
      <c r="I253" s="24"/>
      <c r="J253" s="24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9"/>
      <c r="D254" s="20"/>
      <c r="E254" s="20"/>
      <c r="F254" s="20"/>
      <c r="G254" s="20"/>
      <c r="H254" s="20"/>
      <c r="I254" s="24"/>
      <c r="J254" s="24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9"/>
      <c r="D255" s="20"/>
      <c r="E255" s="20"/>
      <c r="F255" s="20"/>
      <c r="G255" s="20"/>
      <c r="H255" s="20"/>
      <c r="I255" s="24"/>
      <c r="J255" s="24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9"/>
      <c r="D256" s="20"/>
      <c r="E256" s="20"/>
      <c r="F256" s="20"/>
      <c r="G256" s="20"/>
      <c r="H256" s="20"/>
      <c r="I256" s="24"/>
      <c r="J256" s="24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9"/>
      <c r="D257" s="20"/>
      <c r="E257" s="20"/>
      <c r="F257" s="20"/>
      <c r="G257" s="20"/>
      <c r="H257" s="20"/>
      <c r="I257" s="24"/>
      <c r="J257" s="24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9"/>
      <c r="D258" s="20"/>
      <c r="E258" s="20"/>
      <c r="F258" s="20"/>
      <c r="G258" s="20"/>
      <c r="H258" s="20"/>
      <c r="I258" s="24"/>
      <c r="J258" s="24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9"/>
      <c r="D259" s="20"/>
      <c r="E259" s="20"/>
      <c r="F259" s="20"/>
      <c r="G259" s="20"/>
      <c r="H259" s="20"/>
      <c r="I259" s="24"/>
      <c r="J259" s="24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9"/>
      <c r="D260" s="20"/>
      <c r="E260" s="20"/>
      <c r="F260" s="20"/>
      <c r="G260" s="20"/>
      <c r="H260" s="20"/>
      <c r="I260" s="24"/>
      <c r="J260" s="24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9"/>
      <c r="D261" s="20"/>
      <c r="E261" s="20"/>
      <c r="F261" s="20"/>
      <c r="G261" s="20"/>
      <c r="H261" s="20"/>
      <c r="I261" s="24"/>
      <c r="J261" s="24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9"/>
      <c r="D262" s="20"/>
      <c r="E262" s="20"/>
      <c r="F262" s="20"/>
      <c r="G262" s="20"/>
      <c r="H262" s="20"/>
      <c r="I262" s="24"/>
      <c r="J262" s="24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9"/>
      <c r="D263" s="20"/>
      <c r="E263" s="20"/>
      <c r="F263" s="20"/>
      <c r="G263" s="20"/>
      <c r="H263" s="20"/>
      <c r="I263" s="24"/>
      <c r="J263" s="24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9"/>
      <c r="D264" s="20"/>
      <c r="E264" s="20"/>
      <c r="F264" s="20"/>
      <c r="G264" s="20"/>
      <c r="H264" s="20"/>
      <c r="I264" s="24"/>
      <c r="J264" s="24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9"/>
      <c r="D265" s="20"/>
      <c r="E265" s="20"/>
      <c r="F265" s="20"/>
      <c r="G265" s="20"/>
      <c r="H265" s="20"/>
      <c r="I265" s="24"/>
      <c r="J265" s="24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9"/>
      <c r="D266" s="20"/>
      <c r="E266" s="20"/>
      <c r="F266" s="20"/>
      <c r="G266" s="20"/>
      <c r="H266" s="20"/>
      <c r="I266" s="24"/>
      <c r="J266" s="24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9"/>
      <c r="D267" s="20"/>
      <c r="E267" s="20"/>
      <c r="F267" s="20"/>
      <c r="G267" s="20"/>
      <c r="H267" s="20"/>
      <c r="I267" s="24"/>
      <c r="J267" s="24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9"/>
      <c r="D268" s="20"/>
      <c r="E268" s="20"/>
      <c r="F268" s="20"/>
      <c r="G268" s="20"/>
      <c r="H268" s="20"/>
      <c r="I268" s="24"/>
      <c r="J268" s="24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9"/>
      <c r="D269" s="20"/>
      <c r="E269" s="20"/>
      <c r="F269" s="20"/>
      <c r="G269" s="20"/>
      <c r="H269" s="20"/>
      <c r="I269" s="24"/>
      <c r="J269" s="24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9"/>
      <c r="D270" s="20"/>
      <c r="E270" s="20"/>
      <c r="F270" s="20"/>
      <c r="G270" s="20"/>
      <c r="H270" s="20"/>
      <c r="I270" s="24"/>
      <c r="J270" s="24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9"/>
      <c r="D271" s="20"/>
      <c r="E271" s="20"/>
      <c r="F271" s="20"/>
      <c r="G271" s="20"/>
      <c r="H271" s="20"/>
      <c r="I271" s="24"/>
      <c r="J271" s="24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9"/>
      <c r="D272" s="20"/>
      <c r="E272" s="20"/>
      <c r="F272" s="20"/>
      <c r="G272" s="20"/>
      <c r="H272" s="20"/>
      <c r="I272" s="24"/>
      <c r="J272" s="24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9"/>
      <c r="D273" s="20"/>
      <c r="E273" s="20"/>
      <c r="F273" s="20"/>
      <c r="G273" s="20"/>
      <c r="H273" s="20"/>
      <c r="I273" s="24"/>
      <c r="J273" s="24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9"/>
      <c r="D274" s="20"/>
      <c r="E274" s="20"/>
      <c r="F274" s="20"/>
      <c r="G274" s="20"/>
      <c r="H274" s="20"/>
      <c r="I274" s="24"/>
      <c r="J274" s="24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9"/>
      <c r="D275" s="20"/>
      <c r="E275" s="20"/>
      <c r="F275" s="20"/>
      <c r="G275" s="20"/>
      <c r="H275" s="20"/>
      <c r="I275" s="24"/>
      <c r="J275" s="24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9"/>
      <c r="D276" s="20"/>
      <c r="E276" s="20"/>
      <c r="F276" s="20"/>
      <c r="G276" s="20"/>
      <c r="H276" s="20"/>
      <c r="I276" s="24"/>
      <c r="J276" s="24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9"/>
      <c r="D277" s="20"/>
      <c r="E277" s="20"/>
      <c r="F277" s="20"/>
      <c r="G277" s="20"/>
      <c r="H277" s="20"/>
      <c r="I277" s="24"/>
      <c r="J277" s="24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9"/>
      <c r="D278" s="20"/>
      <c r="E278" s="20"/>
      <c r="F278" s="20"/>
      <c r="G278" s="20"/>
      <c r="H278" s="20"/>
      <c r="I278" s="24"/>
      <c r="J278" s="24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9"/>
      <c r="D279" s="20"/>
      <c r="E279" s="20"/>
      <c r="F279" s="20"/>
      <c r="G279" s="20"/>
      <c r="H279" s="20"/>
      <c r="I279" s="24"/>
      <c r="J279" s="24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9"/>
      <c r="D280" s="20"/>
      <c r="E280" s="20"/>
      <c r="F280" s="20"/>
      <c r="G280" s="20"/>
      <c r="H280" s="20"/>
      <c r="I280" s="24"/>
      <c r="J280" s="24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9"/>
      <c r="D281" s="20"/>
      <c r="E281" s="20"/>
      <c r="F281" s="20"/>
      <c r="G281" s="20"/>
      <c r="H281" s="20"/>
      <c r="I281" s="24"/>
      <c r="J281" s="24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9"/>
      <c r="D282" s="20"/>
      <c r="E282" s="20"/>
      <c r="F282" s="20"/>
      <c r="G282" s="20"/>
      <c r="H282" s="20"/>
      <c r="I282" s="24"/>
      <c r="J282" s="24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9"/>
      <c r="D283" s="20"/>
      <c r="E283" s="20"/>
      <c r="F283" s="20"/>
      <c r="G283" s="20"/>
      <c r="H283" s="20"/>
      <c r="I283" s="24"/>
      <c r="J283" s="24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9"/>
      <c r="D284" s="20"/>
      <c r="E284" s="20"/>
      <c r="F284" s="20"/>
      <c r="G284" s="20"/>
      <c r="H284" s="20"/>
      <c r="I284" s="24"/>
      <c r="J284" s="24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9"/>
      <c r="D285" s="20"/>
      <c r="E285" s="20"/>
      <c r="F285" s="20"/>
      <c r="G285" s="20"/>
      <c r="H285" s="20"/>
      <c r="I285" s="24"/>
      <c r="J285" s="24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9"/>
      <c r="D286" s="20"/>
      <c r="E286" s="20"/>
      <c r="F286" s="20"/>
      <c r="G286" s="20"/>
      <c r="H286" s="20"/>
      <c r="I286" s="24"/>
      <c r="J286" s="24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9"/>
      <c r="D287" s="20"/>
      <c r="E287" s="20"/>
      <c r="F287" s="20"/>
      <c r="G287" s="20"/>
      <c r="H287" s="20"/>
      <c r="I287" s="24"/>
      <c r="J287" s="24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9"/>
      <c r="D288" s="20"/>
      <c r="E288" s="20"/>
      <c r="F288" s="20"/>
      <c r="G288" s="20"/>
      <c r="H288" s="20"/>
      <c r="I288" s="24"/>
      <c r="J288" s="24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9"/>
      <c r="D289" s="20"/>
      <c r="E289" s="20"/>
      <c r="F289" s="20"/>
      <c r="G289" s="20"/>
      <c r="H289" s="20"/>
      <c r="I289" s="24"/>
      <c r="J289" s="24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9"/>
      <c r="D290" s="20"/>
      <c r="E290" s="20"/>
      <c r="F290" s="20"/>
      <c r="G290" s="20"/>
      <c r="H290" s="20"/>
      <c r="I290" s="24"/>
      <c r="J290" s="24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9"/>
      <c r="D291" s="20"/>
      <c r="E291" s="20"/>
      <c r="F291" s="20"/>
      <c r="G291" s="20"/>
      <c r="H291" s="20"/>
      <c r="I291" s="24"/>
      <c r="J291" s="24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9"/>
      <c r="D292" s="20"/>
      <c r="E292" s="20"/>
      <c r="F292" s="20"/>
      <c r="G292" s="20"/>
      <c r="H292" s="20"/>
      <c r="I292" s="24"/>
      <c r="J292" s="24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9"/>
      <c r="D293" s="20"/>
      <c r="E293" s="20"/>
      <c r="F293" s="20"/>
      <c r="G293" s="20"/>
      <c r="H293" s="20"/>
      <c r="I293" s="24"/>
      <c r="J293" s="24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9"/>
      <c r="D294" s="20"/>
      <c r="E294" s="20"/>
      <c r="F294" s="20"/>
      <c r="G294" s="20"/>
      <c r="H294" s="20"/>
      <c r="I294" s="24"/>
      <c r="J294" s="24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9"/>
      <c r="D295" s="20"/>
      <c r="E295" s="20"/>
      <c r="F295" s="20"/>
      <c r="G295" s="20"/>
      <c r="H295" s="20"/>
      <c r="I295" s="24"/>
      <c r="J295" s="24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9"/>
      <c r="D296" s="20"/>
      <c r="E296" s="20"/>
      <c r="F296" s="20"/>
      <c r="G296" s="20"/>
      <c r="H296" s="20"/>
      <c r="I296" s="24"/>
      <c r="J296" s="24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9"/>
      <c r="D297" s="20"/>
      <c r="E297" s="20"/>
      <c r="F297" s="20"/>
      <c r="G297" s="20"/>
      <c r="H297" s="20"/>
      <c r="I297" s="24"/>
      <c r="J297" s="24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9"/>
      <c r="D298" s="20"/>
      <c r="E298" s="20"/>
      <c r="F298" s="20"/>
      <c r="G298" s="20"/>
      <c r="H298" s="20"/>
      <c r="I298" s="24"/>
      <c r="J298" s="24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9"/>
      <c r="D299" s="20"/>
      <c r="E299" s="20"/>
      <c r="F299" s="20"/>
      <c r="G299" s="20"/>
      <c r="H299" s="20"/>
      <c r="I299" s="24"/>
      <c r="J299" s="24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9"/>
      <c r="D300" s="20"/>
      <c r="E300" s="20"/>
      <c r="F300" s="20"/>
      <c r="G300" s="20"/>
      <c r="H300" s="20"/>
      <c r="I300" s="24"/>
      <c r="J300" s="24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9"/>
      <c r="D301" s="20"/>
      <c r="E301" s="20"/>
      <c r="F301" s="20"/>
      <c r="G301" s="20"/>
      <c r="H301" s="20"/>
      <c r="I301" s="24"/>
      <c r="J301" s="24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9"/>
      <c r="D302" s="20"/>
      <c r="E302" s="20"/>
      <c r="F302" s="20"/>
      <c r="G302" s="20"/>
      <c r="H302" s="20"/>
      <c r="I302" s="24"/>
      <c r="J302" s="24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9"/>
      <c r="D303" s="20"/>
      <c r="E303" s="20"/>
      <c r="F303" s="20"/>
      <c r="G303" s="20"/>
      <c r="H303" s="20"/>
      <c r="I303" s="24"/>
      <c r="J303" s="24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9"/>
      <c r="D304" s="20"/>
      <c r="E304" s="20"/>
      <c r="F304" s="20"/>
      <c r="G304" s="20"/>
      <c r="H304" s="20"/>
      <c r="I304" s="24"/>
      <c r="J304" s="24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9"/>
      <c r="D305" s="20"/>
      <c r="E305" s="20"/>
      <c r="F305" s="20"/>
      <c r="G305" s="20"/>
      <c r="H305" s="20"/>
      <c r="I305" s="24"/>
      <c r="J305" s="24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9"/>
      <c r="D306" s="20"/>
      <c r="E306" s="20"/>
      <c r="F306" s="20"/>
      <c r="G306" s="20"/>
      <c r="H306" s="20"/>
      <c r="I306" s="24"/>
      <c r="J306" s="24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9"/>
      <c r="D307" s="20"/>
      <c r="E307" s="20"/>
      <c r="F307" s="20"/>
      <c r="G307" s="20"/>
      <c r="H307" s="20"/>
      <c r="I307" s="24"/>
      <c r="J307" s="24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9"/>
      <c r="D308" s="20"/>
      <c r="E308" s="20"/>
      <c r="F308" s="20"/>
      <c r="G308" s="20"/>
      <c r="H308" s="20"/>
      <c r="I308" s="24"/>
      <c r="J308" s="24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9"/>
      <c r="D309" s="20"/>
      <c r="E309" s="20"/>
      <c r="F309" s="20"/>
      <c r="G309" s="20"/>
      <c r="H309" s="20"/>
      <c r="I309" s="24"/>
      <c r="J309" s="24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9"/>
      <c r="D310" s="20"/>
      <c r="E310" s="20"/>
      <c r="F310" s="20"/>
      <c r="G310" s="20"/>
      <c r="H310" s="20"/>
      <c r="I310" s="24"/>
      <c r="J310" s="24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9"/>
      <c r="D311" s="20"/>
      <c r="E311" s="20"/>
      <c r="F311" s="20"/>
      <c r="G311" s="20"/>
      <c r="H311" s="20"/>
      <c r="I311" s="24"/>
      <c r="J311" s="24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9"/>
      <c r="D312" s="20"/>
      <c r="E312" s="20"/>
      <c r="F312" s="20"/>
      <c r="G312" s="20"/>
      <c r="H312" s="20"/>
      <c r="I312" s="24"/>
      <c r="J312" s="24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9"/>
      <c r="D313" s="20"/>
      <c r="E313" s="20"/>
      <c r="F313" s="20"/>
      <c r="G313" s="20"/>
      <c r="H313" s="20"/>
      <c r="I313" s="24"/>
      <c r="J313" s="24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9"/>
      <c r="D314" s="20"/>
      <c r="E314" s="20"/>
      <c r="F314" s="20"/>
      <c r="G314" s="20"/>
      <c r="H314" s="20"/>
      <c r="I314" s="24"/>
      <c r="J314" s="24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9"/>
      <c r="D315" s="20"/>
      <c r="E315" s="20"/>
      <c r="F315" s="20"/>
      <c r="G315" s="20"/>
      <c r="H315" s="20"/>
      <c r="I315" s="24"/>
      <c r="J315" s="24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9"/>
      <c r="D316" s="20"/>
      <c r="E316" s="20"/>
      <c r="F316" s="20"/>
      <c r="G316" s="20"/>
      <c r="H316" s="20"/>
      <c r="I316" s="24"/>
      <c r="J316" s="24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9"/>
      <c r="D317" s="20"/>
      <c r="E317" s="20"/>
      <c r="F317" s="20"/>
      <c r="G317" s="20"/>
      <c r="H317" s="20"/>
      <c r="I317" s="24"/>
      <c r="J317" s="24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9"/>
      <c r="D318" s="20"/>
      <c r="E318" s="20"/>
      <c r="F318" s="20"/>
      <c r="G318" s="20"/>
      <c r="H318" s="20"/>
      <c r="I318" s="24"/>
      <c r="J318" s="24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9"/>
      <c r="D319" s="20"/>
      <c r="E319" s="20"/>
      <c r="F319" s="20"/>
      <c r="G319" s="20"/>
      <c r="H319" s="20"/>
      <c r="I319" s="24"/>
      <c r="J319" s="24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9"/>
      <c r="D320" s="20"/>
      <c r="E320" s="20"/>
      <c r="F320" s="20"/>
      <c r="G320" s="20"/>
      <c r="H320" s="20"/>
      <c r="I320" s="24"/>
      <c r="J320" s="24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9"/>
      <c r="D321" s="20"/>
      <c r="E321" s="20"/>
      <c r="F321" s="20"/>
      <c r="G321" s="20"/>
      <c r="H321" s="20"/>
      <c r="I321" s="24"/>
      <c r="J321" s="24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9"/>
      <c r="D322" s="20"/>
      <c r="E322" s="20"/>
      <c r="F322" s="20"/>
      <c r="G322" s="20"/>
      <c r="H322" s="20"/>
      <c r="I322" s="24"/>
      <c r="J322" s="24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9"/>
      <c r="D323" s="20"/>
      <c r="E323" s="20"/>
      <c r="F323" s="20"/>
      <c r="G323" s="20"/>
      <c r="H323" s="20"/>
      <c r="I323" s="24"/>
      <c r="J323" s="24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9"/>
      <c r="D324" s="20"/>
      <c r="E324" s="20"/>
      <c r="F324" s="20"/>
      <c r="G324" s="20"/>
      <c r="H324" s="20"/>
      <c r="I324" s="24"/>
      <c r="J324" s="24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9"/>
      <c r="D325" s="20"/>
      <c r="E325" s="20"/>
      <c r="F325" s="20"/>
      <c r="G325" s="20"/>
      <c r="H325" s="20"/>
      <c r="I325" s="24"/>
      <c r="J325" s="24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9"/>
      <c r="D326" s="20"/>
      <c r="E326" s="20"/>
      <c r="F326" s="20"/>
      <c r="G326" s="20"/>
      <c r="H326" s="20"/>
      <c r="I326" s="24"/>
      <c r="J326" s="24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9"/>
      <c r="D327" s="20"/>
      <c r="E327" s="20"/>
      <c r="F327" s="20"/>
      <c r="G327" s="20"/>
      <c r="H327" s="20"/>
      <c r="I327" s="24"/>
      <c r="J327" s="24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9"/>
      <c r="D328" s="20"/>
      <c r="E328" s="20"/>
      <c r="F328" s="20"/>
      <c r="G328" s="20"/>
      <c r="H328" s="20"/>
      <c r="I328" s="24"/>
      <c r="J328" s="24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9"/>
      <c r="D329" s="20"/>
      <c r="E329" s="20"/>
      <c r="F329" s="20"/>
      <c r="G329" s="20"/>
      <c r="H329" s="20"/>
      <c r="I329" s="24"/>
      <c r="J329" s="24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9"/>
      <c r="D330" s="20"/>
      <c r="E330" s="20"/>
      <c r="F330" s="20"/>
      <c r="G330" s="20"/>
      <c r="H330" s="20"/>
      <c r="I330" s="24"/>
      <c r="J330" s="24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9"/>
      <c r="D331" s="20"/>
      <c r="E331" s="20"/>
      <c r="F331" s="20"/>
      <c r="G331" s="20"/>
      <c r="H331" s="20"/>
      <c r="I331" s="24"/>
      <c r="J331" s="24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9"/>
      <c r="D332" s="20"/>
      <c r="E332" s="20"/>
      <c r="F332" s="20"/>
      <c r="G332" s="20"/>
      <c r="H332" s="20"/>
      <c r="I332" s="24"/>
      <c r="J332" s="24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9"/>
      <c r="D333" s="20"/>
      <c r="E333" s="20"/>
      <c r="F333" s="20"/>
      <c r="G333" s="20"/>
      <c r="H333" s="20"/>
      <c r="I333" s="24"/>
      <c r="J333" s="24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9"/>
      <c r="D334" s="20"/>
      <c r="E334" s="20"/>
      <c r="F334" s="20"/>
      <c r="G334" s="20"/>
      <c r="H334" s="20"/>
      <c r="I334" s="24"/>
      <c r="J334" s="24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9"/>
      <c r="D335" s="20"/>
      <c r="E335" s="20"/>
      <c r="F335" s="20"/>
      <c r="G335" s="20"/>
      <c r="H335" s="20"/>
      <c r="I335" s="24"/>
      <c r="J335" s="24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9"/>
      <c r="D336" s="20"/>
      <c r="E336" s="20"/>
      <c r="F336" s="20"/>
      <c r="G336" s="20"/>
      <c r="H336" s="20"/>
      <c r="I336" s="24"/>
      <c r="J336" s="24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9"/>
      <c r="D337" s="20"/>
      <c r="E337" s="20"/>
      <c r="F337" s="20"/>
      <c r="G337" s="20"/>
      <c r="H337" s="20"/>
      <c r="I337" s="24"/>
      <c r="J337" s="24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9"/>
      <c r="D338" s="20"/>
      <c r="E338" s="20"/>
      <c r="F338" s="20"/>
      <c r="G338" s="20"/>
      <c r="H338" s="20"/>
      <c r="I338" s="24"/>
      <c r="J338" s="24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9"/>
      <c r="D339" s="20"/>
      <c r="E339" s="20"/>
      <c r="F339" s="20"/>
      <c r="G339" s="20"/>
      <c r="H339" s="20"/>
      <c r="I339" s="24"/>
      <c r="J339" s="24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9"/>
      <c r="D340" s="20"/>
      <c r="E340" s="20"/>
      <c r="F340" s="20"/>
      <c r="G340" s="20"/>
      <c r="H340" s="20"/>
      <c r="I340" s="24"/>
      <c r="J340" s="24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9"/>
      <c r="D341" s="20"/>
      <c r="E341" s="20"/>
      <c r="F341" s="20"/>
      <c r="G341" s="20"/>
      <c r="H341" s="20"/>
      <c r="I341" s="24"/>
      <c r="J341" s="24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9"/>
      <c r="D342" s="20"/>
      <c r="E342" s="20"/>
      <c r="F342" s="20"/>
      <c r="G342" s="20"/>
      <c r="H342" s="20"/>
      <c r="I342" s="24"/>
      <c r="J342" s="24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9"/>
      <c r="D343" s="20"/>
      <c r="E343" s="20"/>
      <c r="F343" s="20"/>
      <c r="G343" s="20"/>
      <c r="H343" s="20"/>
      <c r="I343" s="24"/>
      <c r="J343" s="24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9"/>
      <c r="D344" s="20"/>
      <c r="E344" s="20"/>
      <c r="F344" s="20"/>
      <c r="G344" s="20"/>
      <c r="H344" s="20"/>
      <c r="I344" s="24"/>
      <c r="J344" s="24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9"/>
      <c r="D345" s="20"/>
      <c r="E345" s="20"/>
      <c r="F345" s="20"/>
      <c r="G345" s="20"/>
      <c r="H345" s="20"/>
      <c r="I345" s="24"/>
      <c r="J345" s="24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9"/>
      <c r="D346" s="20"/>
      <c r="E346" s="20"/>
      <c r="F346" s="20"/>
      <c r="G346" s="20"/>
      <c r="H346" s="20"/>
      <c r="I346" s="24"/>
      <c r="J346" s="24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9"/>
      <c r="D347" s="20"/>
      <c r="E347" s="20"/>
      <c r="F347" s="20"/>
      <c r="G347" s="20"/>
      <c r="H347" s="20"/>
      <c r="I347" s="24"/>
      <c r="J347" s="24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9"/>
      <c r="D348" s="20"/>
      <c r="E348" s="20"/>
      <c r="F348" s="20"/>
      <c r="G348" s="20"/>
      <c r="H348" s="20"/>
      <c r="I348" s="24"/>
      <c r="J348" s="24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9"/>
      <c r="D349" s="20"/>
      <c r="E349" s="20"/>
      <c r="F349" s="20"/>
      <c r="G349" s="20"/>
      <c r="H349" s="20"/>
      <c r="I349" s="24"/>
      <c r="J349" s="24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9"/>
      <c r="D350" s="20"/>
      <c r="E350" s="20"/>
      <c r="F350" s="20"/>
      <c r="G350" s="20"/>
      <c r="H350" s="20"/>
      <c r="I350" s="24"/>
      <c r="J350" s="24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9"/>
      <c r="D351" s="20"/>
      <c r="E351" s="20"/>
      <c r="F351" s="20"/>
      <c r="G351" s="20"/>
      <c r="H351" s="20"/>
      <c r="I351" s="24"/>
      <c r="J351" s="24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9"/>
      <c r="D352" s="20"/>
      <c r="E352" s="20"/>
      <c r="F352" s="20"/>
      <c r="G352" s="20"/>
      <c r="H352" s="20"/>
      <c r="I352" s="24"/>
      <c r="J352" s="24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9"/>
      <c r="D353" s="20"/>
      <c r="E353" s="20"/>
      <c r="F353" s="20"/>
      <c r="G353" s="20"/>
      <c r="H353" s="20"/>
      <c r="I353" s="24"/>
      <c r="J353" s="24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9"/>
      <c r="D354" s="20"/>
      <c r="E354" s="20"/>
      <c r="F354" s="20"/>
      <c r="G354" s="20"/>
      <c r="H354" s="20"/>
      <c r="I354" s="24"/>
      <c r="J354" s="24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9"/>
      <c r="D355" s="20"/>
      <c r="E355" s="20"/>
      <c r="F355" s="20"/>
      <c r="G355" s="20"/>
      <c r="H355" s="20"/>
      <c r="I355" s="24"/>
      <c r="J355" s="24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9"/>
      <c r="D356" s="20"/>
      <c r="E356" s="20"/>
      <c r="F356" s="20"/>
      <c r="G356" s="20"/>
      <c r="H356" s="20"/>
      <c r="I356" s="24"/>
      <c r="J356" s="24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9"/>
      <c r="D357" s="20"/>
      <c r="E357" s="20"/>
      <c r="F357" s="20"/>
      <c r="G357" s="20"/>
      <c r="H357" s="20"/>
      <c r="I357" s="24"/>
      <c r="J357" s="24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9"/>
      <c r="D358" s="20"/>
      <c r="E358" s="20"/>
      <c r="F358" s="20"/>
      <c r="G358" s="20"/>
      <c r="H358" s="20"/>
      <c r="I358" s="24"/>
      <c r="J358" s="24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9"/>
      <c r="D359" s="20"/>
      <c r="E359" s="20"/>
      <c r="F359" s="20"/>
      <c r="G359" s="20"/>
      <c r="H359" s="20"/>
      <c r="I359" s="24"/>
      <c r="J359" s="24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9"/>
      <c r="D360" s="20"/>
      <c r="E360" s="20"/>
      <c r="F360" s="20"/>
      <c r="G360" s="20"/>
      <c r="H360" s="20"/>
      <c r="I360" s="24"/>
      <c r="J360" s="24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9"/>
      <c r="D361" s="20"/>
      <c r="E361" s="20"/>
      <c r="F361" s="20"/>
      <c r="G361" s="20"/>
      <c r="H361" s="20"/>
      <c r="I361" s="24"/>
      <c r="J361" s="24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9"/>
      <c r="D362" s="20"/>
      <c r="E362" s="20"/>
      <c r="F362" s="20"/>
      <c r="G362" s="20"/>
      <c r="H362" s="20"/>
      <c r="I362" s="24"/>
      <c r="J362" s="24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9"/>
      <c r="D363" s="20"/>
      <c r="E363" s="20"/>
      <c r="F363" s="20"/>
      <c r="G363" s="20"/>
      <c r="H363" s="20"/>
      <c r="I363" s="24"/>
      <c r="J363" s="24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9"/>
      <c r="D364" s="20"/>
      <c r="E364" s="20"/>
      <c r="F364" s="20"/>
      <c r="G364" s="20"/>
      <c r="H364" s="20"/>
      <c r="I364" s="24"/>
      <c r="J364" s="24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9"/>
      <c r="D365" s="20"/>
      <c r="E365" s="20"/>
      <c r="F365" s="20"/>
      <c r="G365" s="20"/>
      <c r="H365" s="20"/>
      <c r="I365" s="24"/>
      <c r="J365" s="24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9"/>
      <c r="D366" s="20"/>
      <c r="E366" s="20"/>
      <c r="F366" s="20"/>
      <c r="G366" s="20"/>
      <c r="H366" s="20"/>
      <c r="I366" s="24"/>
      <c r="J366" s="24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9"/>
      <c r="D367" s="20"/>
      <c r="E367" s="20"/>
      <c r="F367" s="20"/>
      <c r="G367" s="20"/>
      <c r="H367" s="20"/>
      <c r="I367" s="24"/>
      <c r="J367" s="24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9"/>
      <c r="D368" s="20"/>
      <c r="E368" s="20"/>
      <c r="F368" s="20"/>
      <c r="G368" s="20"/>
      <c r="H368" s="20"/>
      <c r="I368" s="24"/>
      <c r="J368" s="24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9"/>
      <c r="D369" s="20"/>
      <c r="E369" s="20"/>
      <c r="F369" s="20"/>
      <c r="G369" s="20"/>
      <c r="H369" s="20"/>
      <c r="I369" s="24"/>
      <c r="J369" s="24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9"/>
      <c r="D370" s="20"/>
      <c r="E370" s="20"/>
      <c r="F370" s="20"/>
      <c r="G370" s="20"/>
      <c r="H370" s="20"/>
      <c r="I370" s="24"/>
      <c r="J370" s="24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9"/>
      <c r="D371" s="20"/>
      <c r="E371" s="20"/>
      <c r="F371" s="20"/>
      <c r="G371" s="20"/>
      <c r="H371" s="20"/>
      <c r="I371" s="24"/>
      <c r="J371" s="24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9"/>
      <c r="D372" s="20"/>
      <c r="E372" s="20"/>
      <c r="F372" s="20"/>
      <c r="G372" s="20"/>
      <c r="H372" s="20"/>
      <c r="I372" s="24"/>
      <c r="J372" s="24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9"/>
      <c r="D373" s="20"/>
      <c r="E373" s="20"/>
      <c r="F373" s="20"/>
      <c r="G373" s="20"/>
      <c r="H373" s="20"/>
      <c r="I373" s="24"/>
      <c r="J373" s="24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9"/>
      <c r="D374" s="20"/>
      <c r="E374" s="20"/>
      <c r="F374" s="20"/>
      <c r="G374" s="20"/>
      <c r="H374" s="20"/>
      <c r="I374" s="24"/>
      <c r="J374" s="24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9"/>
      <c r="D375" s="20"/>
      <c r="E375" s="20"/>
      <c r="F375" s="20"/>
      <c r="G375" s="20"/>
      <c r="H375" s="20"/>
      <c r="I375" s="24"/>
      <c r="J375" s="24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9"/>
      <c r="D376" s="20"/>
      <c r="E376" s="20"/>
      <c r="F376" s="20"/>
      <c r="G376" s="20"/>
      <c r="H376" s="20"/>
      <c r="I376" s="24"/>
      <c r="J376" s="24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9"/>
      <c r="D377" s="20"/>
      <c r="E377" s="20"/>
      <c r="F377" s="20"/>
      <c r="G377" s="20"/>
      <c r="H377" s="20"/>
      <c r="I377" s="24"/>
      <c r="J377" s="24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9"/>
      <c r="D378" s="20"/>
      <c r="E378" s="20"/>
      <c r="F378" s="20"/>
      <c r="G378" s="20"/>
      <c r="H378" s="20"/>
      <c r="I378" s="24"/>
      <c r="J378" s="24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9"/>
      <c r="D379" s="20"/>
      <c r="E379" s="20"/>
      <c r="F379" s="20"/>
      <c r="G379" s="20"/>
      <c r="H379" s="20"/>
      <c r="I379" s="24"/>
      <c r="J379" s="24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9"/>
      <c r="D380" s="20"/>
      <c r="E380" s="20"/>
      <c r="F380" s="20"/>
      <c r="G380" s="20"/>
      <c r="H380" s="20"/>
      <c r="I380" s="24"/>
      <c r="J380" s="24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9"/>
      <c r="D381" s="20"/>
      <c r="E381" s="20"/>
      <c r="F381" s="20"/>
      <c r="G381" s="20"/>
      <c r="H381" s="20"/>
      <c r="I381" s="24"/>
      <c r="J381" s="24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9"/>
      <c r="D382" s="20"/>
      <c r="E382" s="20"/>
      <c r="F382" s="20"/>
      <c r="G382" s="20"/>
      <c r="H382" s="20"/>
      <c r="I382" s="24"/>
      <c r="J382" s="24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9"/>
      <c r="D383" s="20"/>
      <c r="E383" s="20"/>
      <c r="F383" s="20"/>
      <c r="G383" s="20"/>
      <c r="H383" s="20"/>
      <c r="I383" s="24"/>
      <c r="J383" s="24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9"/>
      <c r="D384" s="20"/>
      <c r="E384" s="20"/>
      <c r="F384" s="20"/>
      <c r="G384" s="20"/>
      <c r="H384" s="20"/>
      <c r="I384" s="24"/>
      <c r="J384" s="24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9"/>
      <c r="D385" s="20"/>
      <c r="E385" s="20"/>
      <c r="F385" s="20"/>
      <c r="G385" s="20"/>
      <c r="H385" s="20"/>
      <c r="I385" s="24"/>
      <c r="J385" s="24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9"/>
      <c r="D386" s="20"/>
      <c r="E386" s="20"/>
      <c r="F386" s="20"/>
      <c r="G386" s="20"/>
      <c r="H386" s="20"/>
      <c r="I386" s="24"/>
      <c r="J386" s="24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9"/>
      <c r="D387" s="20"/>
      <c r="E387" s="20"/>
      <c r="F387" s="20"/>
      <c r="G387" s="20"/>
      <c r="H387" s="20"/>
      <c r="I387" s="24"/>
      <c r="J387" s="24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9"/>
      <c r="D388" s="20"/>
      <c r="E388" s="20"/>
      <c r="F388" s="20"/>
      <c r="G388" s="20"/>
      <c r="H388" s="20"/>
      <c r="I388" s="24"/>
      <c r="J388" s="24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9"/>
      <c r="D389" s="20"/>
      <c r="E389" s="20"/>
      <c r="F389" s="20"/>
      <c r="G389" s="20"/>
      <c r="H389" s="20"/>
      <c r="I389" s="24"/>
      <c r="J389" s="24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9"/>
      <c r="D390" s="20"/>
      <c r="E390" s="20"/>
      <c r="F390" s="20"/>
      <c r="G390" s="20"/>
      <c r="H390" s="20"/>
      <c r="I390" s="24"/>
      <c r="J390" s="24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9"/>
      <c r="D391" s="20"/>
      <c r="E391" s="20"/>
      <c r="F391" s="20"/>
      <c r="G391" s="20"/>
      <c r="H391" s="20"/>
      <c r="I391" s="24"/>
      <c r="J391" s="24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9"/>
      <c r="D392" s="20"/>
      <c r="E392" s="20"/>
      <c r="F392" s="20"/>
      <c r="G392" s="20"/>
      <c r="H392" s="20"/>
      <c r="I392" s="24"/>
      <c r="J392" s="24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9"/>
      <c r="D393" s="20"/>
      <c r="E393" s="20"/>
      <c r="F393" s="20"/>
      <c r="G393" s="20"/>
      <c r="H393" s="20"/>
      <c r="I393" s="24"/>
      <c r="J393" s="24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9"/>
      <c r="D394" s="20"/>
      <c r="E394" s="20"/>
      <c r="F394" s="20"/>
      <c r="G394" s="20"/>
      <c r="H394" s="20"/>
      <c r="I394" s="24"/>
      <c r="J394" s="24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9"/>
      <c r="D395" s="20"/>
      <c r="E395" s="20"/>
      <c r="F395" s="20"/>
      <c r="G395" s="20"/>
      <c r="H395" s="20"/>
      <c r="I395" s="24"/>
      <c r="J395" s="24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9"/>
      <c r="D396" s="20"/>
      <c r="E396" s="20"/>
      <c r="F396" s="20"/>
      <c r="G396" s="20"/>
      <c r="H396" s="20"/>
      <c r="I396" s="24"/>
      <c r="J396" s="24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9"/>
      <c r="D397" s="20"/>
      <c r="E397" s="20"/>
      <c r="F397" s="20"/>
      <c r="G397" s="20"/>
      <c r="H397" s="20"/>
      <c r="I397" s="24"/>
      <c r="J397" s="24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9"/>
      <c r="D398" s="20"/>
      <c r="E398" s="20"/>
      <c r="F398" s="20"/>
      <c r="G398" s="20"/>
      <c r="H398" s="20"/>
      <c r="I398" s="24"/>
      <c r="J398" s="24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9"/>
      <c r="D399" s="20"/>
      <c r="E399" s="20"/>
      <c r="F399" s="20"/>
      <c r="G399" s="20"/>
      <c r="H399" s="20"/>
      <c r="I399" s="24"/>
      <c r="J399" s="24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9"/>
      <c r="D400" s="20"/>
      <c r="E400" s="20"/>
      <c r="F400" s="20"/>
      <c r="G400" s="20"/>
      <c r="H400" s="20"/>
      <c r="I400" s="24"/>
      <c r="J400" s="24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9"/>
      <c r="D401" s="20"/>
      <c r="E401" s="20"/>
      <c r="F401" s="20"/>
      <c r="G401" s="20"/>
      <c r="H401" s="20"/>
      <c r="I401" s="24"/>
      <c r="J401" s="24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9"/>
      <c r="D402" s="20"/>
      <c r="E402" s="20"/>
      <c r="F402" s="20"/>
      <c r="G402" s="20"/>
      <c r="H402" s="20"/>
      <c r="I402" s="24"/>
      <c r="J402" s="24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9"/>
      <c r="D403" s="20"/>
      <c r="E403" s="20"/>
      <c r="F403" s="20"/>
      <c r="G403" s="20"/>
      <c r="H403" s="20"/>
      <c r="I403" s="24"/>
      <c r="J403" s="24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9"/>
      <c r="D404" s="20"/>
      <c r="E404" s="20"/>
      <c r="F404" s="20"/>
      <c r="G404" s="20"/>
      <c r="H404" s="20"/>
      <c r="I404" s="24"/>
      <c r="J404" s="24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9"/>
      <c r="D405" s="20"/>
      <c r="E405" s="20"/>
      <c r="F405" s="20"/>
      <c r="G405" s="20"/>
      <c r="H405" s="20"/>
      <c r="I405" s="24"/>
      <c r="J405" s="24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9"/>
      <c r="D406" s="20"/>
      <c r="E406" s="20"/>
      <c r="F406" s="20"/>
      <c r="G406" s="20"/>
      <c r="H406" s="20"/>
      <c r="I406" s="24"/>
      <c r="J406" s="24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9"/>
      <c r="D407" s="20"/>
      <c r="E407" s="20"/>
      <c r="F407" s="20"/>
      <c r="G407" s="20"/>
      <c r="H407" s="20"/>
      <c r="I407" s="24"/>
      <c r="J407" s="24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9"/>
      <c r="D408" s="20"/>
      <c r="E408" s="20"/>
      <c r="F408" s="20"/>
      <c r="G408" s="20"/>
      <c r="H408" s="20"/>
      <c r="I408" s="24"/>
      <c r="J408" s="24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9"/>
      <c r="D409" s="20"/>
      <c r="E409" s="20"/>
      <c r="F409" s="20"/>
      <c r="G409" s="20"/>
      <c r="H409" s="20"/>
      <c r="I409" s="24"/>
      <c r="J409" s="24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9"/>
      <c r="D410" s="20"/>
      <c r="E410" s="20"/>
      <c r="F410" s="20"/>
      <c r="G410" s="20"/>
      <c r="H410" s="20"/>
      <c r="I410" s="24"/>
      <c r="J410" s="24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9"/>
      <c r="D411" s="20"/>
      <c r="E411" s="20"/>
      <c r="F411" s="20"/>
      <c r="G411" s="20"/>
      <c r="H411" s="20"/>
      <c r="I411" s="24"/>
      <c r="J411" s="24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9"/>
      <c r="D412" s="20"/>
      <c r="E412" s="20"/>
      <c r="F412" s="20"/>
      <c r="G412" s="20"/>
      <c r="H412" s="20"/>
      <c r="I412" s="24"/>
      <c r="J412" s="24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9"/>
      <c r="D413" s="20"/>
      <c r="E413" s="20"/>
      <c r="F413" s="20"/>
      <c r="G413" s="20"/>
      <c r="H413" s="20"/>
      <c r="I413" s="24"/>
      <c r="J413" s="24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9"/>
      <c r="D414" s="20"/>
      <c r="E414" s="20"/>
      <c r="F414" s="20"/>
      <c r="G414" s="20"/>
      <c r="H414" s="20"/>
      <c r="I414" s="24"/>
      <c r="J414" s="24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9"/>
      <c r="D415" s="20"/>
      <c r="E415" s="20"/>
      <c r="F415" s="20"/>
      <c r="G415" s="20"/>
      <c r="H415" s="20"/>
      <c r="I415" s="24"/>
      <c r="J415" s="24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9"/>
      <c r="D416" s="20"/>
      <c r="E416" s="20"/>
      <c r="F416" s="20"/>
      <c r="G416" s="20"/>
      <c r="H416" s="20"/>
      <c r="I416" s="24"/>
      <c r="J416" s="24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9"/>
      <c r="D417" s="20"/>
      <c r="E417" s="20"/>
      <c r="F417" s="20"/>
      <c r="G417" s="20"/>
      <c r="H417" s="20"/>
      <c r="I417" s="24"/>
      <c r="J417" s="24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9"/>
      <c r="D418" s="20"/>
      <c r="E418" s="20"/>
      <c r="F418" s="20"/>
      <c r="G418" s="20"/>
      <c r="H418" s="20"/>
      <c r="I418" s="24"/>
      <c r="J418" s="24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9"/>
      <c r="D419" s="20"/>
      <c r="E419" s="20"/>
      <c r="F419" s="20"/>
      <c r="G419" s="20"/>
      <c r="H419" s="20"/>
      <c r="I419" s="24"/>
      <c r="J419" s="24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9"/>
      <c r="D420" s="20"/>
      <c r="E420" s="20"/>
      <c r="F420" s="20"/>
      <c r="G420" s="20"/>
      <c r="H420" s="20"/>
      <c r="I420" s="24"/>
      <c r="J420" s="24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9"/>
      <c r="D421" s="20"/>
      <c r="E421" s="20"/>
      <c r="F421" s="20"/>
      <c r="G421" s="20"/>
      <c r="H421" s="20"/>
      <c r="I421" s="24"/>
      <c r="J421" s="24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9"/>
      <c r="D422" s="20"/>
      <c r="E422" s="20"/>
      <c r="F422" s="20"/>
      <c r="G422" s="20"/>
      <c r="H422" s="20"/>
      <c r="I422" s="24"/>
      <c r="J422" s="24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9"/>
      <c r="D423" s="20"/>
      <c r="E423" s="20"/>
      <c r="F423" s="20"/>
      <c r="G423" s="20"/>
      <c r="H423" s="20"/>
      <c r="I423" s="24"/>
      <c r="J423" s="24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9"/>
      <c r="D424" s="20"/>
      <c r="E424" s="20"/>
      <c r="F424" s="20"/>
      <c r="G424" s="20"/>
      <c r="H424" s="20"/>
      <c r="I424" s="24"/>
      <c r="J424" s="24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9"/>
      <c r="D425" s="20"/>
      <c r="E425" s="20"/>
      <c r="F425" s="20"/>
      <c r="G425" s="20"/>
      <c r="H425" s="20"/>
      <c r="I425" s="24"/>
      <c r="J425" s="24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9"/>
      <c r="D426" s="20"/>
      <c r="E426" s="20"/>
      <c r="F426" s="20"/>
      <c r="G426" s="20"/>
      <c r="H426" s="20"/>
      <c r="I426" s="24"/>
      <c r="J426" s="24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9"/>
      <c r="D427" s="20"/>
      <c r="E427" s="20"/>
      <c r="F427" s="20"/>
      <c r="G427" s="20"/>
      <c r="H427" s="20"/>
      <c r="I427" s="24"/>
      <c r="J427" s="24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9"/>
      <c r="D428" s="20"/>
      <c r="E428" s="20"/>
      <c r="F428" s="20"/>
      <c r="G428" s="20"/>
      <c r="H428" s="20"/>
      <c r="I428" s="24"/>
      <c r="J428" s="24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9"/>
      <c r="D429" s="20"/>
      <c r="E429" s="20"/>
      <c r="F429" s="20"/>
      <c r="G429" s="20"/>
      <c r="H429" s="20"/>
      <c r="I429" s="24"/>
      <c r="J429" s="24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9"/>
      <c r="D430" s="20"/>
      <c r="E430" s="20"/>
      <c r="F430" s="20"/>
      <c r="G430" s="20"/>
      <c r="H430" s="20"/>
      <c r="I430" s="24"/>
      <c r="J430" s="24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9"/>
      <c r="D431" s="20"/>
      <c r="E431" s="20"/>
      <c r="F431" s="20"/>
      <c r="G431" s="20"/>
      <c r="H431" s="20"/>
      <c r="I431" s="24"/>
      <c r="J431" s="24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9"/>
      <c r="D432" s="20"/>
      <c r="E432" s="20"/>
      <c r="F432" s="20"/>
      <c r="G432" s="20"/>
      <c r="H432" s="20"/>
      <c r="I432" s="24"/>
      <c r="J432" s="24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9"/>
      <c r="D433" s="20"/>
      <c r="E433" s="20"/>
      <c r="F433" s="20"/>
      <c r="G433" s="20"/>
      <c r="H433" s="20"/>
      <c r="I433" s="24"/>
      <c r="J433" s="24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9"/>
      <c r="D434" s="20"/>
      <c r="E434" s="20"/>
      <c r="F434" s="20"/>
      <c r="G434" s="20"/>
      <c r="H434" s="20"/>
      <c r="I434" s="24"/>
      <c r="J434" s="24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9"/>
      <c r="D435" s="20"/>
      <c r="E435" s="20"/>
      <c r="F435" s="20"/>
      <c r="G435" s="20"/>
      <c r="H435" s="20"/>
      <c r="I435" s="24"/>
      <c r="J435" s="24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9"/>
      <c r="D436" s="20"/>
      <c r="E436" s="20"/>
      <c r="F436" s="20"/>
      <c r="G436" s="20"/>
      <c r="H436" s="20"/>
      <c r="I436" s="24"/>
      <c r="J436" s="24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9"/>
      <c r="D437" s="20"/>
      <c r="E437" s="20"/>
      <c r="F437" s="20"/>
      <c r="G437" s="20"/>
      <c r="H437" s="20"/>
      <c r="I437" s="24"/>
      <c r="J437" s="24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9"/>
      <c r="D438" s="20"/>
      <c r="E438" s="20"/>
      <c r="F438" s="20"/>
      <c r="G438" s="20"/>
      <c r="H438" s="20"/>
      <c r="I438" s="24"/>
      <c r="J438" s="24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9"/>
      <c r="D439" s="20"/>
      <c r="E439" s="20"/>
      <c r="F439" s="20"/>
      <c r="G439" s="20"/>
      <c r="H439" s="20"/>
      <c r="I439" s="24"/>
      <c r="J439" s="24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9"/>
      <c r="D440" s="20"/>
      <c r="E440" s="20"/>
      <c r="F440" s="20"/>
      <c r="G440" s="20"/>
      <c r="H440" s="20"/>
      <c r="I440" s="24"/>
      <c r="J440" s="24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9"/>
      <c r="D441" s="20"/>
      <c r="E441" s="20"/>
      <c r="F441" s="20"/>
      <c r="G441" s="20"/>
      <c r="H441" s="20"/>
      <c r="I441" s="24"/>
      <c r="J441" s="24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9"/>
      <c r="D442" s="20"/>
      <c r="E442" s="20"/>
      <c r="F442" s="20"/>
      <c r="G442" s="20"/>
      <c r="H442" s="20"/>
      <c r="I442" s="24"/>
      <c r="J442" s="24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9"/>
      <c r="D443" s="20"/>
      <c r="E443" s="20"/>
      <c r="F443" s="20"/>
      <c r="G443" s="20"/>
      <c r="H443" s="20"/>
      <c r="I443" s="24"/>
      <c r="J443" s="24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9"/>
      <c r="D444" s="20"/>
      <c r="E444" s="20"/>
      <c r="F444" s="20"/>
      <c r="G444" s="20"/>
      <c r="H444" s="20"/>
      <c r="I444" s="24"/>
      <c r="J444" s="24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9"/>
      <c r="D445" s="20"/>
      <c r="E445" s="20"/>
      <c r="F445" s="20"/>
      <c r="G445" s="20"/>
      <c r="H445" s="20"/>
      <c r="I445" s="24"/>
      <c r="J445" s="24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9"/>
      <c r="D446" s="20"/>
      <c r="E446" s="20"/>
      <c r="F446" s="20"/>
      <c r="G446" s="20"/>
      <c r="H446" s="20"/>
      <c r="I446" s="24"/>
      <c r="J446" s="24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9"/>
      <c r="D447" s="20"/>
      <c r="E447" s="20"/>
      <c r="F447" s="20"/>
      <c r="G447" s="20"/>
      <c r="H447" s="20"/>
      <c r="I447" s="24"/>
      <c r="J447" s="24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9"/>
      <c r="D448" s="20"/>
      <c r="E448" s="20"/>
      <c r="F448" s="20"/>
      <c r="G448" s="20"/>
      <c r="H448" s="20"/>
      <c r="I448" s="24"/>
      <c r="J448" s="24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9"/>
      <c r="D449" s="20"/>
      <c r="E449" s="20"/>
      <c r="F449" s="20"/>
      <c r="G449" s="20"/>
      <c r="H449" s="20"/>
      <c r="I449" s="24"/>
      <c r="J449" s="24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9"/>
      <c r="D450" s="20"/>
      <c r="E450" s="20"/>
      <c r="F450" s="20"/>
      <c r="G450" s="20"/>
      <c r="H450" s="20"/>
      <c r="I450" s="24"/>
      <c r="J450" s="24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9"/>
      <c r="D451" s="20"/>
      <c r="E451" s="20"/>
      <c r="F451" s="20"/>
      <c r="G451" s="20"/>
      <c r="H451" s="20"/>
      <c r="I451" s="24"/>
      <c r="J451" s="24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9"/>
      <c r="D452" s="20"/>
      <c r="E452" s="20"/>
      <c r="F452" s="20"/>
      <c r="G452" s="20"/>
      <c r="H452" s="20"/>
      <c r="I452" s="24"/>
      <c r="J452" s="24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9"/>
      <c r="D453" s="20"/>
      <c r="E453" s="20"/>
      <c r="F453" s="20"/>
      <c r="G453" s="20"/>
      <c r="H453" s="20"/>
      <c r="I453" s="24"/>
      <c r="J453" s="24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9"/>
      <c r="D454" s="20"/>
      <c r="E454" s="20"/>
      <c r="F454" s="20"/>
      <c r="G454" s="20"/>
      <c r="H454" s="20"/>
      <c r="I454" s="24"/>
      <c r="J454" s="24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9"/>
      <c r="D455" s="20"/>
      <c r="E455" s="20"/>
      <c r="F455" s="20"/>
      <c r="G455" s="20"/>
      <c r="H455" s="20"/>
      <c r="I455" s="24"/>
      <c r="J455" s="24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9"/>
      <c r="D456" s="20"/>
      <c r="E456" s="20"/>
      <c r="F456" s="20"/>
      <c r="G456" s="20"/>
      <c r="H456" s="20"/>
      <c r="I456" s="24"/>
      <c r="J456" s="24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9"/>
      <c r="D457" s="20"/>
      <c r="E457" s="20"/>
      <c r="F457" s="20"/>
      <c r="G457" s="20"/>
      <c r="H457" s="20"/>
      <c r="I457" s="24"/>
      <c r="J457" s="24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9"/>
      <c r="D458" s="20"/>
      <c r="E458" s="20"/>
      <c r="F458" s="20"/>
      <c r="G458" s="20"/>
      <c r="H458" s="20"/>
      <c r="I458" s="24"/>
      <c r="J458" s="24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9"/>
      <c r="D459" s="20"/>
      <c r="E459" s="20"/>
      <c r="F459" s="20"/>
      <c r="G459" s="20"/>
      <c r="H459" s="20"/>
      <c r="I459" s="24"/>
      <c r="J459" s="24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9"/>
      <c r="D460" s="20"/>
      <c r="E460" s="20"/>
      <c r="F460" s="20"/>
      <c r="G460" s="20"/>
      <c r="H460" s="20"/>
      <c r="I460" s="24"/>
      <c r="J460" s="24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9"/>
      <c r="D461" s="20"/>
      <c r="E461" s="20"/>
      <c r="F461" s="20"/>
      <c r="G461" s="20"/>
      <c r="H461" s="20"/>
      <c r="I461" s="24"/>
      <c r="J461" s="24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9"/>
      <c r="D462" s="20"/>
      <c r="E462" s="20"/>
      <c r="F462" s="20"/>
      <c r="G462" s="20"/>
      <c r="H462" s="20"/>
      <c r="I462" s="24"/>
      <c r="J462" s="24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9"/>
      <c r="D463" s="20"/>
      <c r="E463" s="20"/>
      <c r="F463" s="20"/>
      <c r="G463" s="20"/>
      <c r="H463" s="20"/>
      <c r="I463" s="24"/>
      <c r="J463" s="24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9"/>
      <c r="D464" s="20"/>
      <c r="E464" s="20"/>
      <c r="F464" s="20"/>
      <c r="G464" s="20"/>
      <c r="H464" s="20"/>
      <c r="I464" s="24"/>
      <c r="J464" s="24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9"/>
      <c r="D465" s="20"/>
      <c r="E465" s="20"/>
      <c r="F465" s="20"/>
      <c r="G465" s="20"/>
      <c r="H465" s="20"/>
      <c r="I465" s="24"/>
      <c r="J465" s="24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9"/>
      <c r="D466" s="20"/>
      <c r="E466" s="20"/>
      <c r="F466" s="20"/>
      <c r="G466" s="20"/>
      <c r="H466" s="20"/>
      <c r="I466" s="24"/>
      <c r="J466" s="24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9"/>
      <c r="D467" s="20"/>
      <c r="E467" s="20"/>
      <c r="F467" s="20"/>
      <c r="G467" s="20"/>
      <c r="H467" s="20"/>
      <c r="I467" s="24"/>
      <c r="J467" s="24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9"/>
      <c r="D468" s="20"/>
      <c r="E468" s="20"/>
      <c r="F468" s="20"/>
      <c r="G468" s="20"/>
      <c r="H468" s="20"/>
      <c r="I468" s="24"/>
      <c r="J468" s="24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9"/>
      <c r="D469" s="20"/>
      <c r="E469" s="20"/>
      <c r="F469" s="20"/>
      <c r="G469" s="20"/>
      <c r="H469" s="20"/>
      <c r="I469" s="24"/>
      <c r="J469" s="24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9"/>
      <c r="D470" s="20"/>
      <c r="E470" s="20"/>
      <c r="F470" s="20"/>
      <c r="G470" s="20"/>
      <c r="H470" s="20"/>
      <c r="I470" s="24"/>
      <c r="J470" s="24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9"/>
      <c r="D471" s="20"/>
      <c r="E471" s="20"/>
      <c r="F471" s="20"/>
      <c r="G471" s="20"/>
      <c r="H471" s="20"/>
      <c r="I471" s="24"/>
      <c r="J471" s="24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9"/>
      <c r="D472" s="20"/>
      <c r="E472" s="20"/>
      <c r="F472" s="20"/>
      <c r="G472" s="20"/>
      <c r="H472" s="20"/>
      <c r="I472" s="24"/>
      <c r="J472" s="24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9"/>
      <c r="D473" s="20"/>
      <c r="E473" s="20"/>
      <c r="F473" s="20"/>
      <c r="G473" s="20"/>
      <c r="H473" s="20"/>
      <c r="I473" s="24"/>
      <c r="J473" s="24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9"/>
      <c r="D474" s="20"/>
      <c r="E474" s="20"/>
      <c r="F474" s="20"/>
      <c r="G474" s="20"/>
      <c r="H474" s="20"/>
      <c r="I474" s="24"/>
      <c r="J474" s="24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9"/>
      <c r="D475" s="20"/>
      <c r="E475" s="20"/>
      <c r="F475" s="20"/>
      <c r="G475" s="20"/>
      <c r="H475" s="20"/>
      <c r="I475" s="24"/>
      <c r="J475" s="24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9"/>
      <c r="D476" s="20"/>
      <c r="E476" s="20"/>
      <c r="F476" s="20"/>
      <c r="G476" s="20"/>
      <c r="H476" s="20"/>
      <c r="I476" s="24"/>
      <c r="J476" s="24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9"/>
      <c r="D477" s="20"/>
      <c r="E477" s="20"/>
      <c r="F477" s="20"/>
      <c r="G477" s="20"/>
      <c r="H477" s="20"/>
      <c r="I477" s="24"/>
      <c r="J477" s="24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9"/>
      <c r="D478" s="20"/>
      <c r="E478" s="20"/>
      <c r="F478" s="20"/>
      <c r="G478" s="20"/>
      <c r="H478" s="20"/>
      <c r="I478" s="24"/>
      <c r="J478" s="24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9"/>
      <c r="D479" s="20"/>
      <c r="E479" s="20"/>
      <c r="F479" s="20"/>
      <c r="G479" s="20"/>
      <c r="H479" s="20"/>
      <c r="I479" s="24"/>
      <c r="J479" s="24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9"/>
      <c r="D480" s="20"/>
      <c r="E480" s="20"/>
      <c r="F480" s="20"/>
      <c r="G480" s="20"/>
      <c r="H480" s="20"/>
      <c r="I480" s="24"/>
      <c r="J480" s="24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9"/>
      <c r="D481" s="20"/>
      <c r="E481" s="20"/>
      <c r="F481" s="20"/>
      <c r="G481" s="20"/>
      <c r="H481" s="20"/>
      <c r="I481" s="24"/>
      <c r="J481" s="24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9"/>
      <c r="D482" s="20"/>
      <c r="E482" s="20"/>
      <c r="F482" s="20"/>
      <c r="G482" s="20"/>
      <c r="H482" s="20"/>
      <c r="I482" s="24"/>
      <c r="J482" s="24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9"/>
      <c r="D483" s="20"/>
      <c r="E483" s="20"/>
      <c r="F483" s="20"/>
      <c r="G483" s="20"/>
      <c r="H483" s="20"/>
      <c r="I483" s="24"/>
      <c r="J483" s="24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9"/>
      <c r="D484" s="20"/>
      <c r="E484" s="20"/>
      <c r="F484" s="20"/>
      <c r="G484" s="20"/>
      <c r="H484" s="20"/>
      <c r="I484" s="24"/>
      <c r="J484" s="24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9"/>
      <c r="D485" s="20"/>
      <c r="E485" s="20"/>
      <c r="F485" s="20"/>
      <c r="G485" s="20"/>
      <c r="H485" s="20"/>
      <c r="I485" s="24"/>
      <c r="J485" s="24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9"/>
      <c r="D486" s="20"/>
      <c r="E486" s="20"/>
      <c r="F486" s="20"/>
      <c r="G486" s="20"/>
      <c r="H486" s="20"/>
      <c r="I486" s="24"/>
      <c r="J486" s="24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9"/>
      <c r="D487" s="20"/>
      <c r="E487" s="20"/>
      <c r="F487" s="20"/>
      <c r="G487" s="20"/>
      <c r="H487" s="20"/>
      <c r="I487" s="24"/>
      <c r="J487" s="24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9"/>
      <c r="D488" s="20"/>
      <c r="E488" s="20"/>
      <c r="F488" s="20"/>
      <c r="G488" s="20"/>
      <c r="H488" s="20"/>
      <c r="I488" s="24"/>
      <c r="J488" s="24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9"/>
      <c r="D489" s="20"/>
      <c r="E489" s="20"/>
      <c r="F489" s="20"/>
      <c r="G489" s="20"/>
      <c r="H489" s="20"/>
      <c r="I489" s="24"/>
      <c r="J489" s="24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9"/>
      <c r="D490" s="20"/>
      <c r="E490" s="20"/>
      <c r="F490" s="20"/>
      <c r="G490" s="20"/>
      <c r="H490" s="20"/>
      <c r="I490" s="24"/>
      <c r="J490" s="24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9"/>
      <c r="D491" s="20"/>
      <c r="E491" s="20"/>
      <c r="F491" s="20"/>
      <c r="G491" s="20"/>
      <c r="H491" s="20"/>
      <c r="I491" s="24"/>
      <c r="J491" s="24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9"/>
      <c r="D492" s="20"/>
      <c r="E492" s="20"/>
      <c r="F492" s="20"/>
      <c r="G492" s="20"/>
      <c r="H492" s="20"/>
      <c r="I492" s="24"/>
      <c r="J492" s="24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9"/>
      <c r="D493" s="20"/>
      <c r="E493" s="20"/>
      <c r="F493" s="20"/>
      <c r="G493" s="20"/>
      <c r="H493" s="20"/>
      <c r="I493" s="24"/>
      <c r="J493" s="24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9"/>
      <c r="D494" s="20"/>
      <c r="E494" s="20"/>
      <c r="F494" s="20"/>
      <c r="G494" s="20"/>
      <c r="H494" s="20"/>
      <c r="I494" s="24"/>
      <c r="J494" s="24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9"/>
      <c r="D495" s="20"/>
      <c r="E495" s="20"/>
      <c r="F495" s="20"/>
      <c r="G495" s="20"/>
      <c r="H495" s="20"/>
      <c r="I495" s="24"/>
      <c r="J495" s="24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9"/>
      <c r="D496" s="20"/>
      <c r="E496" s="20"/>
      <c r="F496" s="20"/>
      <c r="G496" s="20"/>
      <c r="H496" s="20"/>
      <c r="I496" s="24"/>
      <c r="J496" s="24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9"/>
      <c r="D497" s="20"/>
      <c r="E497" s="20"/>
      <c r="F497" s="20"/>
      <c r="G497" s="20"/>
      <c r="H497" s="20"/>
      <c r="I497" s="24"/>
      <c r="J497" s="24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9"/>
      <c r="D498" s="20"/>
      <c r="E498" s="20"/>
      <c r="F498" s="20"/>
      <c r="G498" s="20"/>
      <c r="H498" s="20"/>
      <c r="I498" s="24"/>
      <c r="J498" s="24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9"/>
      <c r="D499" s="20"/>
      <c r="E499" s="20"/>
      <c r="F499" s="20"/>
      <c r="G499" s="20"/>
      <c r="H499" s="20"/>
      <c r="I499" s="24"/>
      <c r="J499" s="24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9"/>
      <c r="D500" s="20"/>
      <c r="E500" s="20"/>
      <c r="F500" s="20"/>
      <c r="G500" s="20"/>
      <c r="H500" s="20"/>
      <c r="I500" s="24"/>
      <c r="J500" s="24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9"/>
      <c r="D501" s="20"/>
      <c r="E501" s="20"/>
      <c r="F501" s="20"/>
      <c r="G501" s="20"/>
      <c r="H501" s="20"/>
      <c r="I501" s="24"/>
      <c r="J501" s="24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9"/>
      <c r="D502" s="20"/>
      <c r="E502" s="20"/>
      <c r="F502" s="20"/>
      <c r="G502" s="20"/>
      <c r="H502" s="20"/>
      <c r="I502" s="24"/>
      <c r="J502" s="24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9"/>
      <c r="D503" s="20"/>
      <c r="E503" s="20"/>
      <c r="F503" s="20"/>
      <c r="G503" s="20"/>
      <c r="H503" s="20"/>
      <c r="I503" s="24"/>
      <c r="J503" s="24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9"/>
      <c r="D504" s="20"/>
      <c r="E504" s="20"/>
      <c r="F504" s="20"/>
      <c r="G504" s="20"/>
      <c r="H504" s="20"/>
      <c r="I504" s="24"/>
      <c r="J504" s="24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9"/>
      <c r="D505" s="20"/>
      <c r="E505" s="20"/>
      <c r="F505" s="20"/>
      <c r="G505" s="20"/>
      <c r="H505" s="20"/>
      <c r="I505" s="24"/>
      <c r="J505" s="24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9"/>
      <c r="D506" s="20"/>
      <c r="E506" s="20"/>
      <c r="F506" s="20"/>
      <c r="G506" s="20"/>
      <c r="H506" s="20"/>
      <c r="I506" s="24"/>
      <c r="J506" s="24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9"/>
      <c r="D507" s="20"/>
      <c r="E507" s="20"/>
      <c r="F507" s="20"/>
      <c r="G507" s="20"/>
      <c r="H507" s="20"/>
      <c r="I507" s="24"/>
      <c r="J507" s="24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9"/>
      <c r="D508" s="20"/>
      <c r="E508" s="20"/>
      <c r="F508" s="20"/>
      <c r="G508" s="20"/>
      <c r="H508" s="20"/>
      <c r="I508" s="24"/>
      <c r="J508" s="24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9"/>
      <c r="D509" s="20"/>
      <c r="E509" s="20"/>
      <c r="F509" s="20"/>
      <c r="G509" s="20"/>
      <c r="H509" s="20"/>
      <c r="I509" s="24"/>
      <c r="J509" s="24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9"/>
      <c r="D510" s="20"/>
      <c r="E510" s="20"/>
      <c r="F510" s="20"/>
      <c r="G510" s="20"/>
      <c r="H510" s="20"/>
      <c r="I510" s="24"/>
      <c r="J510" s="24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9"/>
      <c r="D511" s="20"/>
      <c r="E511" s="20"/>
      <c r="F511" s="20"/>
      <c r="G511" s="20"/>
      <c r="H511" s="20"/>
      <c r="I511" s="24"/>
      <c r="J511" s="24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9"/>
      <c r="D512" s="20"/>
      <c r="E512" s="20"/>
      <c r="F512" s="20"/>
      <c r="G512" s="20"/>
      <c r="H512" s="20"/>
      <c r="I512" s="24"/>
      <c r="J512" s="24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9"/>
      <c r="D513" s="20"/>
      <c r="E513" s="20"/>
      <c r="F513" s="20"/>
      <c r="G513" s="20"/>
      <c r="H513" s="20"/>
      <c r="I513" s="24"/>
      <c r="J513" s="24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9"/>
      <c r="D514" s="20"/>
      <c r="E514" s="20"/>
      <c r="F514" s="20"/>
      <c r="G514" s="20"/>
      <c r="H514" s="20"/>
      <c r="I514" s="24"/>
      <c r="J514" s="24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9"/>
      <c r="D515" s="20"/>
      <c r="E515" s="20"/>
      <c r="F515" s="20"/>
      <c r="G515" s="20"/>
      <c r="H515" s="20"/>
      <c r="I515" s="24"/>
      <c r="J515" s="24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9"/>
      <c r="D516" s="20"/>
      <c r="E516" s="20"/>
      <c r="F516" s="20"/>
      <c r="G516" s="20"/>
      <c r="H516" s="20"/>
      <c r="I516" s="24"/>
      <c r="J516" s="24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9"/>
      <c r="D517" s="20"/>
      <c r="E517" s="20"/>
      <c r="F517" s="20"/>
      <c r="G517" s="20"/>
      <c r="H517" s="20"/>
      <c r="I517" s="24"/>
      <c r="J517" s="24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9"/>
      <c r="D518" s="20"/>
      <c r="E518" s="20"/>
      <c r="F518" s="20"/>
      <c r="G518" s="20"/>
      <c r="H518" s="20"/>
      <c r="I518" s="24"/>
      <c r="J518" s="24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9"/>
      <c r="D519" s="20"/>
      <c r="E519" s="20"/>
      <c r="F519" s="20"/>
      <c r="G519" s="20"/>
      <c r="H519" s="20"/>
      <c r="I519" s="24"/>
      <c r="J519" s="24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9"/>
      <c r="D520" s="20"/>
      <c r="E520" s="20"/>
      <c r="F520" s="20"/>
      <c r="G520" s="20"/>
      <c r="H520" s="20"/>
      <c r="I520" s="24"/>
      <c r="J520" s="24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9"/>
      <c r="D521" s="20"/>
      <c r="E521" s="20"/>
      <c r="F521" s="20"/>
      <c r="G521" s="20"/>
      <c r="H521" s="20"/>
      <c r="I521" s="24"/>
      <c r="J521" s="24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9"/>
      <c r="D522" s="20"/>
      <c r="E522" s="20"/>
      <c r="F522" s="20"/>
      <c r="G522" s="20"/>
      <c r="H522" s="20"/>
      <c r="I522" s="24"/>
      <c r="J522" s="24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9"/>
      <c r="D523" s="20"/>
      <c r="E523" s="20"/>
      <c r="F523" s="20"/>
      <c r="G523" s="20"/>
      <c r="H523" s="20"/>
      <c r="I523" s="24"/>
      <c r="J523" s="24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9"/>
      <c r="D524" s="20"/>
      <c r="E524" s="20"/>
      <c r="F524" s="20"/>
      <c r="G524" s="20"/>
      <c r="H524" s="20"/>
      <c r="I524" s="24"/>
      <c r="J524" s="24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9"/>
      <c r="D525" s="20"/>
      <c r="E525" s="20"/>
      <c r="F525" s="20"/>
      <c r="G525" s="20"/>
      <c r="H525" s="20"/>
      <c r="I525" s="24"/>
      <c r="J525" s="24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9"/>
      <c r="D526" s="20"/>
      <c r="E526" s="20"/>
      <c r="F526" s="20"/>
      <c r="G526" s="20"/>
      <c r="H526" s="20"/>
      <c r="I526" s="24"/>
      <c r="J526" s="24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9"/>
      <c r="D527" s="20"/>
      <c r="E527" s="20"/>
      <c r="F527" s="20"/>
      <c r="G527" s="20"/>
      <c r="H527" s="20"/>
      <c r="I527" s="24"/>
      <c r="J527" s="24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9"/>
      <c r="D528" s="20"/>
      <c r="E528" s="20"/>
      <c r="F528" s="20"/>
      <c r="G528" s="20"/>
      <c r="H528" s="20"/>
      <c r="I528" s="24"/>
      <c r="J528" s="24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9"/>
      <c r="D529" s="20"/>
      <c r="E529" s="20"/>
      <c r="F529" s="20"/>
      <c r="G529" s="20"/>
      <c r="H529" s="20"/>
      <c r="I529" s="24"/>
      <c r="J529" s="24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9"/>
      <c r="D530" s="20"/>
      <c r="E530" s="20"/>
      <c r="F530" s="20"/>
      <c r="G530" s="20"/>
      <c r="H530" s="20"/>
      <c r="I530" s="24"/>
      <c r="J530" s="24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9"/>
      <c r="D531" s="20"/>
      <c r="E531" s="20"/>
      <c r="F531" s="20"/>
      <c r="G531" s="20"/>
      <c r="H531" s="20"/>
      <c r="I531" s="24"/>
      <c r="J531" s="24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9"/>
      <c r="D532" s="20"/>
      <c r="E532" s="20"/>
      <c r="F532" s="20"/>
      <c r="G532" s="20"/>
      <c r="H532" s="20"/>
      <c r="I532" s="24"/>
      <c r="J532" s="24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9"/>
      <c r="D533" s="20"/>
      <c r="E533" s="20"/>
      <c r="F533" s="20"/>
      <c r="G533" s="20"/>
      <c r="H533" s="20"/>
      <c r="I533" s="24"/>
      <c r="J533" s="24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9"/>
      <c r="D534" s="20"/>
      <c r="E534" s="20"/>
      <c r="F534" s="20"/>
      <c r="G534" s="20"/>
      <c r="H534" s="20"/>
      <c r="I534" s="24"/>
      <c r="J534" s="24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9"/>
      <c r="D535" s="20"/>
      <c r="E535" s="20"/>
      <c r="F535" s="20"/>
      <c r="G535" s="20"/>
      <c r="H535" s="20"/>
      <c r="I535" s="24"/>
      <c r="J535" s="24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9"/>
      <c r="D536" s="20"/>
      <c r="E536" s="20"/>
      <c r="F536" s="20"/>
      <c r="G536" s="20"/>
      <c r="H536" s="20"/>
      <c r="I536" s="24"/>
      <c r="J536" s="24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9"/>
      <c r="D537" s="20"/>
      <c r="E537" s="20"/>
      <c r="F537" s="20"/>
      <c r="G537" s="20"/>
      <c r="H537" s="20"/>
      <c r="I537" s="24"/>
      <c r="J537" s="24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9"/>
      <c r="D538" s="20"/>
      <c r="E538" s="20"/>
      <c r="F538" s="20"/>
      <c r="G538" s="20"/>
      <c r="H538" s="20"/>
      <c r="I538" s="24"/>
      <c r="J538" s="24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9"/>
      <c r="D539" s="20"/>
      <c r="E539" s="20"/>
      <c r="F539" s="20"/>
      <c r="G539" s="20"/>
      <c r="H539" s="20"/>
      <c r="I539" s="24"/>
      <c r="J539" s="24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9"/>
      <c r="D540" s="20"/>
      <c r="E540" s="20"/>
      <c r="F540" s="20"/>
      <c r="G540" s="20"/>
      <c r="H540" s="20"/>
      <c r="I540" s="24"/>
      <c r="J540" s="24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9"/>
      <c r="D541" s="20"/>
      <c r="E541" s="20"/>
      <c r="F541" s="20"/>
      <c r="G541" s="20"/>
      <c r="H541" s="20"/>
      <c r="I541" s="24"/>
      <c r="J541" s="24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9"/>
      <c r="D542" s="20"/>
      <c r="E542" s="20"/>
      <c r="F542" s="20"/>
      <c r="G542" s="20"/>
      <c r="H542" s="20"/>
      <c r="I542" s="24"/>
      <c r="J542" s="24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9"/>
      <c r="D543" s="20"/>
      <c r="E543" s="20"/>
      <c r="F543" s="20"/>
      <c r="G543" s="20"/>
      <c r="H543" s="20"/>
      <c r="I543" s="24"/>
      <c r="J543" s="24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9"/>
      <c r="D544" s="20"/>
      <c r="E544" s="20"/>
      <c r="F544" s="20"/>
      <c r="G544" s="20"/>
      <c r="H544" s="20"/>
      <c r="I544" s="24"/>
      <c r="J544" s="24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9"/>
      <c r="D545" s="20"/>
      <c r="E545" s="20"/>
      <c r="F545" s="20"/>
      <c r="G545" s="20"/>
      <c r="H545" s="20"/>
      <c r="I545" s="24"/>
      <c r="J545" s="24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9"/>
      <c r="D546" s="20"/>
      <c r="E546" s="20"/>
      <c r="F546" s="20"/>
      <c r="G546" s="20"/>
      <c r="H546" s="20"/>
      <c r="I546" s="24"/>
      <c r="J546" s="24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9"/>
      <c r="D547" s="20"/>
      <c r="E547" s="20"/>
      <c r="F547" s="20"/>
      <c r="G547" s="20"/>
      <c r="H547" s="20"/>
      <c r="I547" s="24"/>
      <c r="J547" s="24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9"/>
      <c r="D548" s="20"/>
      <c r="E548" s="20"/>
      <c r="F548" s="20"/>
      <c r="G548" s="20"/>
      <c r="H548" s="20"/>
      <c r="I548" s="24"/>
      <c r="J548" s="24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9"/>
      <c r="D549" s="20"/>
      <c r="E549" s="20"/>
      <c r="F549" s="20"/>
      <c r="G549" s="20"/>
      <c r="H549" s="20"/>
      <c r="I549" s="24"/>
      <c r="J549" s="24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9"/>
      <c r="D550" s="20"/>
      <c r="E550" s="20"/>
      <c r="F550" s="20"/>
      <c r="G550" s="20"/>
      <c r="H550" s="20"/>
      <c r="I550" s="24"/>
      <c r="J550" s="24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9"/>
      <c r="D551" s="20"/>
      <c r="E551" s="20"/>
      <c r="F551" s="20"/>
      <c r="G551" s="20"/>
      <c r="H551" s="20"/>
      <c r="I551" s="24"/>
      <c r="J551" s="24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9"/>
      <c r="D552" s="20"/>
      <c r="E552" s="20"/>
      <c r="F552" s="20"/>
      <c r="G552" s="20"/>
      <c r="H552" s="20"/>
      <c r="I552" s="24"/>
      <c r="J552" s="24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9"/>
      <c r="D553" s="20"/>
      <c r="E553" s="20"/>
      <c r="F553" s="20"/>
      <c r="G553" s="20"/>
      <c r="H553" s="20"/>
      <c r="I553" s="24"/>
      <c r="J553" s="24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9"/>
      <c r="D554" s="20"/>
      <c r="E554" s="20"/>
      <c r="F554" s="20"/>
      <c r="G554" s="20"/>
      <c r="H554" s="20"/>
      <c r="I554" s="24"/>
      <c r="J554" s="24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9"/>
      <c r="D555" s="20"/>
      <c r="E555" s="20"/>
      <c r="F555" s="20"/>
      <c r="G555" s="20"/>
      <c r="H555" s="20"/>
      <c r="I555" s="24"/>
      <c r="J555" s="24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9"/>
      <c r="D556" s="20"/>
      <c r="E556" s="20"/>
      <c r="F556" s="20"/>
      <c r="G556" s="20"/>
      <c r="H556" s="20"/>
      <c r="I556" s="24"/>
      <c r="J556" s="24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9"/>
      <c r="D557" s="20"/>
      <c r="E557" s="20"/>
      <c r="F557" s="20"/>
      <c r="G557" s="20"/>
      <c r="H557" s="20"/>
      <c r="I557" s="24"/>
      <c r="J557" s="24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9"/>
      <c r="D558" s="20"/>
      <c r="E558" s="20"/>
      <c r="F558" s="20"/>
      <c r="G558" s="20"/>
      <c r="H558" s="20"/>
      <c r="I558" s="24"/>
      <c r="J558" s="24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9"/>
      <c r="D559" s="20"/>
      <c r="E559" s="20"/>
      <c r="F559" s="20"/>
      <c r="G559" s="20"/>
      <c r="H559" s="20"/>
      <c r="I559" s="24"/>
      <c r="J559" s="24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9"/>
      <c r="D560" s="20"/>
      <c r="E560" s="20"/>
      <c r="F560" s="20"/>
      <c r="G560" s="20"/>
      <c r="H560" s="20"/>
      <c r="I560" s="24"/>
      <c r="J560" s="24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9"/>
      <c r="D561" s="20"/>
      <c r="E561" s="20"/>
      <c r="F561" s="20"/>
      <c r="G561" s="20"/>
      <c r="H561" s="20"/>
      <c r="I561" s="24"/>
      <c r="J561" s="24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9"/>
      <c r="D562" s="20"/>
      <c r="E562" s="20"/>
      <c r="F562" s="20"/>
      <c r="G562" s="20"/>
      <c r="H562" s="20"/>
      <c r="I562" s="24"/>
      <c r="J562" s="24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</sheetData>
  <mergeCells count="1">
    <mergeCell ref="A2:A8"/>
  </mergeCells>
  <conditionalFormatting sqref="C2:H562 I2:I7">
    <cfRule type="colorScale" priority="1">
      <colorScale>
        <cfvo type="formula" val="1"/>
        <cfvo type="formula" val="3"/>
        <cfvo type="formula" val="5"/>
        <color rgb="FFE06666"/>
        <color rgb="FFFFD966"/>
        <color rgb="FF57BB8A"/>
      </colorScale>
    </cfRule>
  </conditionalFormatting>
  <dataValidations>
    <dataValidation type="list" allowBlank="1" showErrorMessage="1" sqref="A2">
      <formula1>Data!$C$2:$C562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75"/>
    <col customWidth="1" min="2" max="2" width="25.88"/>
    <col customWidth="1" min="4" max="4" width="19.88"/>
    <col customWidth="1" min="5" max="5" width="19.63"/>
    <col customWidth="1" min="6" max="6" width="24.38"/>
    <col customWidth="1" min="8" max="8" width="17.88"/>
    <col customWidth="1" min="9" max="9" width="18.5"/>
    <col customWidth="1" min="10" max="10" width="42.5"/>
  </cols>
  <sheetData>
    <row r="1">
      <c r="A1" s="13" t="s">
        <v>23</v>
      </c>
      <c r="B1" s="13" t="str">
        <f>IFERROR(__xludf.DUMMYFUNCTION("{ ""Model List"" ; SORT(UNIQUE(FILTER(Data!$C$2:$C564, Data!$C$2:$C564 &lt;&gt; """"))) }"),"Model List")</f>
        <v>Model List</v>
      </c>
      <c r="C1" s="14" t="str">
        <f t="array" ref="C1:C564">{"Overall Score"; MAP(D2:D564, E2:E564, F2:F564, G2:G564, H2:H564, LAMBDA(c, d, e, f, g, 
  IF(COUNT(c, d, e, f, g) = 0, , AVERAGE(c, d, e, f, g))
))}</f>
        <v>Overall Score</v>
      </c>
      <c r="D1" s="15" t="str">
        <f>IFERROR(__xludf.DUMMYFUNCTION("{""Geometry Accuracy""; MAP($B2:$B564, LAMBDA(val, 
  IF(val = """", , 
    IFERROR(
      AVERAGE(
        FILTER(
          Data!E$2:E564, 
          Data!$C$2:$C564 = val,
          REGEXMATCH(Data!$B$2:$B564, ""(?i)^("" &amp; SUBSTITUTE(SUBSTITUTE($A$2, "&amp;""", "", ""|""), "","", ""|"") &amp; "")$"")
        )
      ), 
      """"
    )
  )
))}"),"Geometry Accuracy")</f>
        <v>Geometry Accuracy</v>
      </c>
      <c r="E1" s="15" t="str">
        <f>IFERROR(__xludf.DUMMYFUNCTION("{""Interactivity &amp; Usability""; MAP($B2:$B564, LAMBDA(val, 
  IF(val = """", , 
    IFERROR(
      AVERAGE(
        FILTER(
          Data!F$2:F564, 
          Data!$C$2:$C564 = val,
          REGEXMATCH(Data!$B$2:$B564, ""(?i)^("" &amp; SUBSTITUTE(SUBSTITUTE"&amp;"($A$2, "", "", ""|""), "","", ""|"") &amp; "")$"")
        )
      ), 
      """"
    )
  )
))}"),"Interactivity &amp; Usability")</f>
        <v>Interactivity &amp; Usability</v>
      </c>
      <c r="F1" s="15" t="str">
        <f>IFERROR(__xludf.DUMMYFUNCTION("{""Faithfulness to Figure Image""; MAP($B2:$B564, LAMBDA(val, 
  IF(val = """", , 
    IFERROR(
      AVERAGE(
        FILTER(
          Data!G$2:G564, 
          Data!$C$2:$C564 = val,
          REGEXMATCH(Data!$B$2:$B564, ""(?i)^("" &amp; SUBSTITUTE(SUBSTIT"&amp;"UTE($A$2, "", "", ""|""), "","", ""|"") &amp; "")$"")
        )
      ), 
      """"
    )
  )
))}"),"Faithfulness to Figure Image")</f>
        <v>Faithfulness to Figure Image</v>
      </c>
      <c r="G1" s="15" t="str">
        <f>IFERROR(__xludf.DUMMYFUNCTION("{""Label Quality""; MAP($B2:$B564, LAMBDA(val, 
  IF(val = """", , 
    IFERROR(
      AVERAGE(
        FILTER(
          Data!H$2:H564, 
          Data!$C$2:$C564 = val,
          REGEXMATCH(Data!$B$2:$B564, ""(?i)^("" &amp; SUBSTITUTE(SUBSTITUTE($A$2, "", "&amp;""", ""|""), "","", ""|"") &amp; "")$"")
        )
      ), 
      """"
    )
  )
))}"),"Label Quality")</f>
        <v>Label Quality</v>
      </c>
      <c r="H1" s="15" t="str">
        <f>IFERROR(__xludf.DUMMYFUNCTION("{""Concept Accuracy""; MAP($B2:$B564, LAMBDA(val, 
  IF(val = """", , 
    IFERROR(
      AVERAGE(
        FILTER(
          Data!I$2:I564, 
          Data!$C$2:$C564 = val,
          REGEXMATCH(Data!$B$2:$B564, ""(?i)^("" &amp; SUBSTITUTE(SUBSTITUTE($A$2, """&amp;", "", ""|""), "","", ""|"") &amp; "")$"")
        )
      ), 
      """"
    )
  )
))}"),"Concept Accuracy")</f>
        <v>Concept Accuracy</v>
      </c>
      <c r="I1" s="15" t="str">
        <f>IFERROR(__xludf.DUMMYFUNCTION("{""Visual Aesthetics""; MAP($B2:$B564, LAMBDA(val, 
  IF(val = """", , 
    IFERROR(
      AVERAGE(
        FILTER(
          Data!J$2:J564, 
          Data!$C$2:$C564 = val,
          REGEXMATCH(Data!$B$2:$B564, ""(?i)^("" &amp; SUBSTITUTE(SUBSTITUTE($A$2, "&amp;""", "", ""|""), "","", ""|"") &amp; "")$"")
        )
      ), 
      """"
    )
  )
))}"),"Visual Aesthetics")</f>
        <v>Visual Aesthetics</v>
      </c>
      <c r="J1" s="15" t="str">
        <f>IFERROR(__xludf.DUMMYFUNCTION("{""Top 3 Failure Modes""; 
  MAP(B2:B564, LAMBDA(row_val, 
    IF(row_val="""",,
      IFERROR(
        TEXTJOIN("", "", TRUE, 
          INDEX(
            QUERY(
              TRANSPOSE(
                TRIM(
                  SPLIT(
                   "&amp;" TEXTJOIN("", "", TRUE, 
                      FILTER(
                        Data!$K$2:$K564,
                        Data!$C$2:$C564 = row_val,
                        Data!$K$2:$K564 &lt;&gt; """",
                        REGEXMATCH(Data!$B$2:$B564, ""(?i)^"&amp;"("" &amp; SUBSTITUTE(SUBSTITUTE($A$2, "", "", ""|""), "","", ""|"") &amp; "")$"")
                      )
                    ),
                    "",""
                  )
                )
              ),
              ""SELECT Col1, COUNT(Col1) 
           "&amp;"    GROUP BY Col1 
               ORDER BY COUNT(Col1) DESC 
               LIMIT 3"", 
              0
            ),
            0, 1
          )
        ), 
        """"
      )
    )
  ))
}"),"Top 3 Failure Modes")</f>
        <v>Top 3 Failure Modes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 t="s">
        <v>24</v>
      </c>
      <c r="B2" s="18" t="str">
        <f>IFERROR(__xludf.DUMMYFUNCTION("""COMPUTED_VALUE"""),"claude-opus-4.6")</f>
        <v>claude-opus-4.6</v>
      </c>
      <c r="C2" s="19">
        <v>3.7111111111111112</v>
      </c>
      <c r="D2" s="20">
        <f>IFERROR(__xludf.DUMMYFUNCTION("""COMPUTED_VALUE"""),4.555555555555555)</f>
        <v>4.555555556</v>
      </c>
      <c r="E2" s="20">
        <f>IFERROR(__xludf.DUMMYFUNCTION("""COMPUTED_VALUE"""),3.7777777777777777)</f>
        <v>3.777777778</v>
      </c>
      <c r="F2" s="20">
        <f>IFERROR(__xludf.DUMMYFUNCTION("""COMPUTED_VALUE"""),3.0)</f>
        <v>3</v>
      </c>
      <c r="G2" s="20">
        <f>IFERROR(__xludf.DUMMYFUNCTION("""COMPUTED_VALUE"""),3.7777777777777777)</f>
        <v>3.777777778</v>
      </c>
      <c r="H2" s="20">
        <f>IFERROR(__xludf.DUMMYFUNCTION("""COMPUTED_VALUE"""),3.4444444444444446)</f>
        <v>3.444444444</v>
      </c>
      <c r="I2" s="20">
        <f>IFERROR(__xludf.DUMMYFUNCTION("""COMPUTED_VALUE"""),3.7777777777777786)</f>
        <v>3.777777778</v>
      </c>
      <c r="J2" s="21" t="str">
        <f>IFERROR(__xludf.DUMMYFUNCTION("""COMPUTED_VALUE"""),"Hallucination, Initial-View-Wrong, Interaction-OOB")</f>
        <v>Hallucination, Initial-View-Wrong, Interaction-OOB</v>
      </c>
    </row>
    <row r="3">
      <c r="B3" s="18" t="str">
        <f>IFERROR(__xludf.DUMMYFUNCTION("""COMPUTED_VALUE"""),"claude-opus-4.6-with-base-code")</f>
        <v>claude-opus-4.6-with-base-code</v>
      </c>
      <c r="C3" s="19"/>
      <c r="D3" s="20" t="str">
        <f>IFERROR(__xludf.DUMMYFUNCTION("""COMPUTED_VALUE"""),"")</f>
        <v/>
      </c>
      <c r="E3" s="20" t="str">
        <f>IFERROR(__xludf.DUMMYFUNCTION("""COMPUTED_VALUE"""),"")</f>
        <v/>
      </c>
      <c r="F3" s="20" t="str">
        <f>IFERROR(__xludf.DUMMYFUNCTION("""COMPUTED_VALUE"""),"")</f>
        <v/>
      </c>
      <c r="G3" s="20" t="str">
        <f>IFERROR(__xludf.DUMMYFUNCTION("""COMPUTED_VALUE"""),"")</f>
        <v/>
      </c>
      <c r="H3" s="20" t="str">
        <f>IFERROR(__xludf.DUMMYFUNCTION("""COMPUTED_VALUE"""),"")</f>
        <v/>
      </c>
      <c r="I3" s="20" t="str">
        <f>IFERROR(__xludf.DUMMYFUNCTION("""COMPUTED_VALUE"""),"")</f>
        <v/>
      </c>
      <c r="J3" s="21" t="str">
        <f>IFERROR(__xludf.DUMMYFUNCTION("""COMPUTED_VALUE"""),"")</f>
        <v/>
      </c>
    </row>
    <row r="4" ht="34.5" customHeight="1">
      <c r="B4" s="18" t="str">
        <f>IFERROR(__xludf.DUMMYFUNCTION("""COMPUTED_VALUE"""),"gemini-3.1-pro")</f>
        <v>gemini-3.1-pro</v>
      </c>
      <c r="C4" s="19">
        <v>3.7615384615384615</v>
      </c>
      <c r="D4" s="20">
        <f>IFERROR(__xludf.DUMMYFUNCTION("""COMPUTED_VALUE"""),4.269230769230769)</f>
        <v>4.269230769</v>
      </c>
      <c r="E4" s="20">
        <f>IFERROR(__xludf.DUMMYFUNCTION("""COMPUTED_VALUE"""),4.0)</f>
        <v>4</v>
      </c>
      <c r="F4" s="20">
        <f>IFERROR(__xludf.DUMMYFUNCTION("""COMPUTED_VALUE"""),3.9615384615384617)</f>
        <v>3.961538462</v>
      </c>
      <c r="G4" s="20">
        <f>IFERROR(__xludf.DUMMYFUNCTION("""COMPUTED_VALUE"""),3.1538461538461537)</f>
        <v>3.153846154</v>
      </c>
      <c r="H4" s="20">
        <f>IFERROR(__xludf.DUMMYFUNCTION("""COMPUTED_VALUE"""),3.423076923076923)</f>
        <v>3.423076923</v>
      </c>
      <c r="I4" s="20">
        <f>IFERROR(__xludf.DUMMYFUNCTION("""COMPUTED_VALUE"""),3.788461538461538)</f>
        <v>3.788461538</v>
      </c>
      <c r="J4" s="21" t="str">
        <f>IFERROR(__xludf.DUMMYFUNCTION("""COMPUTED_VALUE"""),"Initial-View-Wrong, Interaction-OOB, Bad-Labels")</f>
        <v>Initial-View-Wrong, Interaction-OOB, Bad-Labels</v>
      </c>
    </row>
    <row r="5">
      <c r="A5" s="18"/>
      <c r="B5" s="18" t="str">
        <f>IFERROR(__xludf.DUMMYFUNCTION("""COMPUTED_VALUE"""),"gemini-3.1-pro-with-base-code")</f>
        <v>gemini-3.1-pro-with-base-code</v>
      </c>
      <c r="C5" s="19"/>
      <c r="D5" s="20" t="str">
        <f>IFERROR(__xludf.DUMMYFUNCTION("""COMPUTED_VALUE"""),"")</f>
        <v/>
      </c>
      <c r="E5" s="20" t="str">
        <f>IFERROR(__xludf.DUMMYFUNCTION("""COMPUTED_VALUE"""),"")</f>
        <v/>
      </c>
      <c r="F5" s="20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1" t="str">
        <f>IFERROR(__xludf.DUMMYFUNCTION("""COMPUTED_VALUE"""),"")</f>
        <v/>
      </c>
    </row>
    <row r="6">
      <c r="A6" s="18"/>
      <c r="B6" s="18" t="str">
        <f>IFERROR(__xludf.DUMMYFUNCTION("""COMPUTED_VALUE"""),"gpt-4.1")</f>
        <v>gpt-4.1</v>
      </c>
      <c r="C6" s="19"/>
      <c r="D6" s="20" t="str">
        <f>IFERROR(__xludf.DUMMYFUNCTION("""COMPUTED_VALUE"""),"")</f>
        <v/>
      </c>
      <c r="E6" s="20" t="str">
        <f>IFERROR(__xludf.DUMMYFUNCTION("""COMPUTED_VALUE"""),"")</f>
        <v/>
      </c>
      <c r="F6" s="20" t="str">
        <f>IFERROR(__xludf.DUMMYFUNCTION("""COMPUTED_VALUE"""),"")</f>
        <v/>
      </c>
      <c r="G6" s="20" t="str">
        <f>IFERROR(__xludf.DUMMYFUNCTION("""COMPUTED_VALUE"""),"")</f>
        <v/>
      </c>
      <c r="H6" s="20" t="str">
        <f>IFERROR(__xludf.DUMMYFUNCTION("""COMPUTED_VALUE"""),"")</f>
        <v/>
      </c>
      <c r="I6" s="20" t="str">
        <f>IFERROR(__xludf.DUMMYFUNCTION("""COMPUTED_VALUE"""),"")</f>
        <v/>
      </c>
      <c r="J6" s="21" t="str">
        <f>IFERROR(__xludf.DUMMYFUNCTION("""COMPUTED_VALUE"""),"Rendering-Failure")</f>
        <v>Rendering-Failure</v>
      </c>
    </row>
    <row r="7">
      <c r="A7" s="18"/>
      <c r="B7" s="18" t="str">
        <f>IFERROR(__xludf.DUMMYFUNCTION("""COMPUTED_VALUE"""),"gpt-4.1-with-base-code")</f>
        <v>gpt-4.1-with-base-code</v>
      </c>
      <c r="C7" s="19">
        <v>2.65</v>
      </c>
      <c r="D7" s="20">
        <f>IFERROR(__xludf.DUMMYFUNCTION("""COMPUTED_VALUE"""),2.625)</f>
        <v>2.625</v>
      </c>
      <c r="E7" s="20">
        <f>IFERROR(__xludf.DUMMYFUNCTION("""COMPUTED_VALUE"""),3.25)</f>
        <v>3.25</v>
      </c>
      <c r="F7" s="20">
        <f>IFERROR(__xludf.DUMMYFUNCTION("""COMPUTED_VALUE"""),3.375)</f>
        <v>3.375</v>
      </c>
      <c r="G7" s="20">
        <f>IFERROR(__xludf.DUMMYFUNCTION("""COMPUTED_VALUE"""),1.875)</f>
        <v>1.875</v>
      </c>
      <c r="H7" s="20">
        <f>IFERROR(__xludf.DUMMYFUNCTION("""COMPUTED_VALUE"""),2.125)</f>
        <v>2.125</v>
      </c>
      <c r="I7" s="20">
        <f>IFERROR(__xludf.DUMMYFUNCTION("""COMPUTED_VALUE"""),2.6125000000000003)</f>
        <v>2.6125</v>
      </c>
      <c r="J7" s="21" t="str">
        <f>IFERROR(__xludf.DUMMYFUNCTION("""COMPUTED_VALUE"""),"Concept-Misunderstanding, Missing-Labels, Bad-3D")</f>
        <v>Concept-Misunderstanding, Missing-Labels, Bad-3D</v>
      </c>
    </row>
    <row r="8">
      <c r="A8" s="18"/>
      <c r="B8" s="18" t="str">
        <f>IFERROR(__xludf.DUMMYFUNCTION("""COMPUTED_VALUE"""),"gpt-4o")</f>
        <v>gpt-4o</v>
      </c>
      <c r="C8" s="19">
        <v>1.1555555555555557</v>
      </c>
      <c r="D8" s="20">
        <f>IFERROR(__xludf.DUMMYFUNCTION("""COMPUTED_VALUE"""),1.3333333333333333)</f>
        <v>1.333333333</v>
      </c>
      <c r="E8" s="20">
        <f>IFERROR(__xludf.DUMMYFUNCTION("""COMPUTED_VALUE"""),1.1111111111111112)</f>
        <v>1.111111111</v>
      </c>
      <c r="F8" s="20">
        <f>IFERROR(__xludf.DUMMYFUNCTION("""COMPUTED_VALUE"""),1.2222222222222223)</f>
        <v>1.222222222</v>
      </c>
      <c r="G8" s="20">
        <f>IFERROR(__xludf.DUMMYFUNCTION("""COMPUTED_VALUE"""),1.1111111111111112)</f>
        <v>1.111111111</v>
      </c>
      <c r="H8" s="20">
        <f>IFERROR(__xludf.DUMMYFUNCTION("""COMPUTED_VALUE"""),1.0)</f>
        <v>1</v>
      </c>
      <c r="I8" s="20">
        <f>IFERROR(__xludf.DUMMYFUNCTION("""COMPUTED_VALUE"""),1.2222222222222223)</f>
        <v>1.222222222</v>
      </c>
      <c r="J8" s="21" t="str">
        <f>IFERROR(__xludf.DUMMYFUNCTION("""COMPUTED_VALUE"""),"Bad-3D, Initial-View-Wrong, Concept-Misunderstanding")</f>
        <v>Bad-3D, Initial-View-Wrong, Concept-Misunderstanding</v>
      </c>
    </row>
    <row r="9">
      <c r="A9" s="18"/>
      <c r="B9" s="18" t="str">
        <f>IFERROR(__xludf.DUMMYFUNCTION("""COMPUTED_VALUE"""),"gpt-5.1-codex")</f>
        <v>gpt-5.1-codex</v>
      </c>
      <c r="C9" s="19">
        <v>3.7777777777777777</v>
      </c>
      <c r="D9" s="20">
        <f>IFERROR(__xludf.DUMMYFUNCTION("""COMPUTED_VALUE"""),4.555555555555555)</f>
        <v>4.555555556</v>
      </c>
      <c r="E9" s="20">
        <f>IFERROR(__xludf.DUMMYFUNCTION("""COMPUTED_VALUE"""),3.888888888888889)</f>
        <v>3.888888889</v>
      </c>
      <c r="F9" s="20">
        <f>IFERROR(__xludf.DUMMYFUNCTION("""COMPUTED_VALUE"""),3.888888888888889)</f>
        <v>3.888888889</v>
      </c>
      <c r="G9" s="20">
        <f>IFERROR(__xludf.DUMMYFUNCTION("""COMPUTED_VALUE"""),3.0)</f>
        <v>3</v>
      </c>
      <c r="H9" s="19">
        <f>IFERROR(__xludf.DUMMYFUNCTION("""COMPUTED_VALUE"""),3.5555555555555554)</f>
        <v>3.555555556</v>
      </c>
      <c r="I9" s="20">
        <f>IFERROR(__xludf.DUMMYFUNCTION("""COMPUTED_VALUE"""),3.822222222222222)</f>
        <v>3.822222222</v>
      </c>
      <c r="J9" s="21" t="str">
        <f>IFERROR(__xludf.DUMMYFUNCTION("""COMPUTED_VALUE"""),"Bad-Labels, Initial-View-Wrong, Concept-Misunderstanding")</f>
        <v>Bad-Labels, Initial-View-Wrong, Concept-Misunderstanding</v>
      </c>
    </row>
    <row r="10">
      <c r="A10" s="18"/>
      <c r="B10" s="25" t="str">
        <f>IFERROR(__xludf.DUMMYFUNCTION("""COMPUTED_VALUE"""),"gpt-5.1-codex-with-base-code")</f>
        <v>gpt-5.1-codex-with-base-code</v>
      </c>
      <c r="C10" s="19">
        <v>3.8</v>
      </c>
      <c r="D10" s="20">
        <f>IFERROR(__xludf.DUMMYFUNCTION("""COMPUTED_VALUE"""),4.75)</f>
        <v>4.75</v>
      </c>
      <c r="E10" s="20">
        <f>IFERROR(__xludf.DUMMYFUNCTION("""COMPUTED_VALUE"""),3.5)</f>
        <v>3.5</v>
      </c>
      <c r="F10" s="20">
        <f>IFERROR(__xludf.DUMMYFUNCTION("""COMPUTED_VALUE"""),4.0)</f>
        <v>4</v>
      </c>
      <c r="G10" s="20">
        <f>IFERROR(__xludf.DUMMYFUNCTION("""COMPUTED_VALUE"""),3.0)</f>
        <v>3</v>
      </c>
      <c r="H10" s="20">
        <f>IFERROR(__xludf.DUMMYFUNCTION("""COMPUTED_VALUE"""),3.75)</f>
        <v>3.75</v>
      </c>
      <c r="I10" s="20">
        <f>IFERROR(__xludf.DUMMYFUNCTION("""COMPUTED_VALUE"""),3.925)</f>
        <v>3.925</v>
      </c>
      <c r="J10" s="21" t="str">
        <f>IFERROR(__xludf.DUMMYFUNCTION("""COMPUTED_VALUE"""),"Rendering-Failure, Bad-Labels, Hallucination")</f>
        <v>Rendering-Failure, Bad-Labels, Hallucination</v>
      </c>
    </row>
    <row r="11">
      <c r="A11" s="18"/>
      <c r="B11" s="26" t="str">
        <f>IFERROR(__xludf.DUMMYFUNCTION("""COMPUTED_VALUE"""),"gpt-5.2-codex")</f>
        <v>gpt-5.2-codex</v>
      </c>
      <c r="C11" s="19"/>
      <c r="D11" s="20" t="str">
        <f>IFERROR(__xludf.DUMMYFUNCTION("""COMPUTED_VALUE"""),"")</f>
        <v/>
      </c>
      <c r="E11" s="20" t="str">
        <f>IFERROR(__xludf.DUMMYFUNCTION("""COMPUTED_VALUE"""),"")</f>
        <v/>
      </c>
      <c r="F11" s="20" t="str">
        <f>IFERROR(__xludf.DUMMYFUNCTION("""COMPUTED_VALUE"""),"")</f>
        <v/>
      </c>
      <c r="G11" s="20" t="str">
        <f>IFERROR(__xludf.DUMMYFUNCTION("""COMPUTED_VALUE"""),"")</f>
        <v/>
      </c>
      <c r="H11" s="20" t="str">
        <f>IFERROR(__xludf.DUMMYFUNCTION("""COMPUTED_VALUE"""),"")</f>
        <v/>
      </c>
      <c r="I11" s="20" t="str">
        <f>IFERROR(__xludf.DUMMYFUNCTION("""COMPUTED_VALUE"""),"")</f>
        <v/>
      </c>
      <c r="J11" s="21" t="str">
        <f>IFERROR(__xludf.DUMMYFUNCTION("""COMPUTED_VALUE"""),"Rendering-Failure")</f>
        <v>Rendering-Failure</v>
      </c>
    </row>
    <row r="12">
      <c r="A12" s="18"/>
      <c r="B12" s="26" t="str">
        <f>IFERROR(__xludf.DUMMYFUNCTION("""COMPUTED_VALUE"""),"gpt-5.2-codex-with-base-code")</f>
        <v>gpt-5.2-codex-with-base-code</v>
      </c>
      <c r="C12" s="19">
        <v>2.6</v>
      </c>
      <c r="D12" s="19">
        <f>IFERROR(__xludf.DUMMYFUNCTION("""COMPUTED_VALUE"""),2.0)</f>
        <v>2</v>
      </c>
      <c r="E12" s="20">
        <f>IFERROR(__xludf.DUMMYFUNCTION("""COMPUTED_VALUE"""),3.0)</f>
        <v>3</v>
      </c>
      <c r="F12" s="20">
        <f>IFERROR(__xludf.DUMMYFUNCTION("""COMPUTED_VALUE"""),4.0)</f>
        <v>4</v>
      </c>
      <c r="G12" s="20">
        <f>IFERROR(__xludf.DUMMYFUNCTION("""COMPUTED_VALUE"""),1.5)</f>
        <v>1.5</v>
      </c>
      <c r="H12" s="20">
        <f>IFERROR(__xludf.DUMMYFUNCTION("""COMPUTED_VALUE"""),2.5)</f>
        <v>2.5</v>
      </c>
      <c r="I12" s="21">
        <f>IFERROR(__xludf.DUMMYFUNCTION("""COMPUTED_VALUE"""),2.5)</f>
        <v>2.5</v>
      </c>
      <c r="J12" s="21" t="str">
        <f>IFERROR(__xludf.DUMMYFUNCTION("""COMPUTED_VALUE"""),"Bad-3D, Interaction-Missing, Bad-Labels")</f>
        <v>Bad-3D, Interaction-Missing, Bad-Labels</v>
      </c>
    </row>
    <row r="13">
      <c r="B13" s="26" t="str">
        <f>IFERROR(__xludf.DUMMYFUNCTION("""COMPUTED_VALUE"""),"gpt-5.3-codex")</f>
        <v>gpt-5.3-codex</v>
      </c>
      <c r="C13" s="19">
        <v>3.955555555555555</v>
      </c>
      <c r="D13" s="20">
        <f>IFERROR(__xludf.DUMMYFUNCTION("""COMPUTED_VALUE"""),4.222222222222222)</f>
        <v>4.222222222</v>
      </c>
      <c r="E13" s="20">
        <f>IFERROR(__xludf.DUMMYFUNCTION("""COMPUTED_VALUE"""),4.111111111111111)</f>
        <v>4.111111111</v>
      </c>
      <c r="F13" s="20">
        <f>IFERROR(__xludf.DUMMYFUNCTION("""COMPUTED_VALUE"""),4.0)</f>
        <v>4</v>
      </c>
      <c r="G13" s="20">
        <f>IFERROR(__xludf.DUMMYFUNCTION("""COMPUTED_VALUE"""),3.2222222222222223)</f>
        <v>3.222222222</v>
      </c>
      <c r="H13" s="20">
        <f>IFERROR(__xludf.DUMMYFUNCTION("""COMPUTED_VALUE"""),4.222222222222222)</f>
        <v>4.222222222</v>
      </c>
      <c r="I13" s="21">
        <f>IFERROR(__xludf.DUMMYFUNCTION("""COMPUTED_VALUE"""),3.822222222222222)</f>
        <v>3.822222222</v>
      </c>
      <c r="J13" s="21" t="str">
        <f>IFERROR(__xludf.DUMMYFUNCTION("""COMPUTED_VALUE"""),"Bad-Labels, Initial-View-Wrong, Bad-3D")</f>
        <v>Bad-Labels, Initial-View-Wrong, Bad-3D</v>
      </c>
    </row>
    <row r="14">
      <c r="C14" s="19"/>
      <c r="D14" s="20"/>
      <c r="E14" s="20"/>
      <c r="F14" s="20"/>
      <c r="G14" s="20"/>
      <c r="H14" s="20"/>
      <c r="I14" s="21"/>
      <c r="J14" s="21"/>
    </row>
    <row r="15">
      <c r="C15" s="19"/>
      <c r="D15" s="20"/>
      <c r="E15" s="20"/>
      <c r="F15" s="20"/>
      <c r="G15" s="20"/>
      <c r="H15" s="20"/>
      <c r="I15" s="21"/>
      <c r="J15" s="21"/>
    </row>
    <row r="16">
      <c r="C16" s="19"/>
      <c r="D16" s="20"/>
      <c r="E16" s="20"/>
      <c r="F16" s="20"/>
      <c r="G16" s="20"/>
      <c r="H16" s="20"/>
      <c r="I16" s="21"/>
      <c r="J16" s="21"/>
    </row>
    <row r="17">
      <c r="C17" s="19"/>
      <c r="D17" s="20"/>
      <c r="E17" s="20"/>
      <c r="F17" s="20"/>
      <c r="G17" s="20"/>
      <c r="H17" s="20"/>
      <c r="I17" s="21"/>
      <c r="J17" s="21"/>
    </row>
    <row r="18">
      <c r="A18" s="16"/>
      <c r="B18" s="16"/>
      <c r="C18" s="19"/>
      <c r="D18" s="20"/>
      <c r="E18" s="20"/>
      <c r="F18" s="20"/>
      <c r="G18" s="20"/>
      <c r="H18" s="20"/>
      <c r="I18" s="24"/>
      <c r="J18" s="2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9"/>
      <c r="D19" s="20"/>
      <c r="E19" s="20"/>
      <c r="F19" s="20"/>
      <c r="G19" s="20"/>
      <c r="H19" s="20"/>
      <c r="I19" s="24"/>
      <c r="J19" s="2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9"/>
      <c r="D20" s="20"/>
      <c r="E20" s="20"/>
      <c r="F20" s="20"/>
      <c r="G20" s="20"/>
      <c r="H20" s="20"/>
      <c r="I20" s="24"/>
      <c r="J20" s="2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9"/>
      <c r="D21" s="20"/>
      <c r="E21" s="20"/>
      <c r="F21" s="20"/>
      <c r="G21" s="20"/>
      <c r="H21" s="20"/>
      <c r="I21" s="24"/>
      <c r="J21" s="2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9"/>
      <c r="D22" s="20"/>
      <c r="E22" s="20"/>
      <c r="F22" s="20"/>
      <c r="G22" s="20"/>
      <c r="H22" s="20"/>
      <c r="I22" s="24"/>
      <c r="J22" s="2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9"/>
      <c r="D23" s="20"/>
      <c r="E23" s="20"/>
      <c r="F23" s="20"/>
      <c r="G23" s="20"/>
      <c r="H23" s="20"/>
      <c r="I23" s="24"/>
      <c r="J23" s="2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9"/>
      <c r="D24" s="20"/>
      <c r="E24" s="20"/>
      <c r="F24" s="20"/>
      <c r="G24" s="20"/>
      <c r="H24" s="20"/>
      <c r="I24" s="24"/>
      <c r="J24" s="2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9"/>
      <c r="D25" s="20"/>
      <c r="E25" s="20"/>
      <c r="F25" s="20"/>
      <c r="G25" s="20"/>
      <c r="H25" s="20"/>
      <c r="I25" s="24"/>
      <c r="J25" s="2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9"/>
      <c r="D26" s="20"/>
      <c r="E26" s="20"/>
      <c r="F26" s="20"/>
      <c r="G26" s="20"/>
      <c r="H26" s="20"/>
      <c r="I26" s="24"/>
      <c r="J26" s="24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9"/>
      <c r="D27" s="20"/>
      <c r="E27" s="20"/>
      <c r="F27" s="20"/>
      <c r="G27" s="20"/>
      <c r="H27" s="20"/>
      <c r="I27" s="24"/>
      <c r="J27" s="24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9"/>
      <c r="D28" s="20"/>
      <c r="E28" s="20"/>
      <c r="F28" s="20"/>
      <c r="G28" s="20"/>
      <c r="H28" s="20"/>
      <c r="I28" s="24"/>
      <c r="J28" s="24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9"/>
      <c r="D29" s="20"/>
      <c r="E29" s="20"/>
      <c r="F29" s="20"/>
      <c r="G29" s="20"/>
      <c r="H29" s="20"/>
      <c r="I29" s="24"/>
      <c r="J29" s="24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9"/>
      <c r="D30" s="20"/>
      <c r="E30" s="20"/>
      <c r="F30" s="20"/>
      <c r="G30" s="20"/>
      <c r="H30" s="20"/>
      <c r="I30" s="24"/>
      <c r="J30" s="24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9"/>
      <c r="D31" s="20"/>
      <c r="E31" s="20"/>
      <c r="F31" s="20"/>
      <c r="G31" s="20"/>
      <c r="H31" s="20"/>
      <c r="I31" s="24"/>
      <c r="J31" s="24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9"/>
      <c r="D32" s="20"/>
      <c r="E32" s="20"/>
      <c r="F32" s="20"/>
      <c r="G32" s="20"/>
      <c r="H32" s="20"/>
      <c r="I32" s="24"/>
      <c r="J32" s="24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9"/>
      <c r="D33" s="20"/>
      <c r="E33" s="20"/>
      <c r="F33" s="20"/>
      <c r="G33" s="20"/>
      <c r="H33" s="20"/>
      <c r="I33" s="24"/>
      <c r="J33" s="24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9"/>
      <c r="D34" s="20"/>
      <c r="E34" s="20"/>
      <c r="F34" s="20"/>
      <c r="G34" s="20"/>
      <c r="H34" s="20"/>
      <c r="I34" s="24"/>
      <c r="J34" s="24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9"/>
      <c r="D35" s="20"/>
      <c r="E35" s="20"/>
      <c r="F35" s="20"/>
      <c r="G35" s="20"/>
      <c r="H35" s="20"/>
      <c r="I35" s="24"/>
      <c r="J35" s="24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9"/>
      <c r="D36" s="20"/>
      <c r="E36" s="20"/>
      <c r="F36" s="20"/>
      <c r="G36" s="20"/>
      <c r="H36" s="20"/>
      <c r="I36" s="24"/>
      <c r="J36" s="24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9"/>
      <c r="D37" s="20"/>
      <c r="E37" s="20"/>
      <c r="F37" s="20"/>
      <c r="G37" s="20"/>
      <c r="H37" s="20"/>
      <c r="I37" s="24"/>
      <c r="J37" s="24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9"/>
      <c r="D38" s="20"/>
      <c r="E38" s="20"/>
      <c r="F38" s="20"/>
      <c r="G38" s="20"/>
      <c r="H38" s="20"/>
      <c r="I38" s="24"/>
      <c r="J38" s="24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9"/>
      <c r="D39" s="20"/>
      <c r="E39" s="20"/>
      <c r="F39" s="20"/>
      <c r="G39" s="20"/>
      <c r="H39" s="20"/>
      <c r="I39" s="24"/>
      <c r="J39" s="24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9"/>
      <c r="D40" s="20"/>
      <c r="E40" s="20"/>
      <c r="F40" s="20"/>
      <c r="G40" s="20"/>
      <c r="H40" s="20"/>
      <c r="I40" s="24"/>
      <c r="J40" s="24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9"/>
      <c r="D41" s="20"/>
      <c r="E41" s="20"/>
      <c r="F41" s="20"/>
      <c r="G41" s="20"/>
      <c r="H41" s="20"/>
      <c r="I41" s="24"/>
      <c r="J41" s="24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9"/>
      <c r="D42" s="20"/>
      <c r="E42" s="20"/>
      <c r="F42" s="20"/>
      <c r="G42" s="20"/>
      <c r="H42" s="20"/>
      <c r="I42" s="24"/>
      <c r="J42" s="24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9"/>
      <c r="D43" s="20"/>
      <c r="E43" s="20"/>
      <c r="F43" s="20"/>
      <c r="G43" s="20"/>
      <c r="H43" s="20"/>
      <c r="I43" s="24"/>
      <c r="J43" s="24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9"/>
      <c r="D44" s="20"/>
      <c r="E44" s="20"/>
      <c r="F44" s="20"/>
      <c r="G44" s="20"/>
      <c r="H44" s="20"/>
      <c r="I44" s="24"/>
      <c r="J44" s="24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9"/>
      <c r="D45" s="20"/>
      <c r="E45" s="20"/>
      <c r="F45" s="20"/>
      <c r="G45" s="20"/>
      <c r="H45" s="20"/>
      <c r="I45" s="24"/>
      <c r="J45" s="24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9"/>
      <c r="D46" s="20"/>
      <c r="E46" s="20"/>
      <c r="F46" s="20"/>
      <c r="G46" s="20"/>
      <c r="H46" s="20"/>
      <c r="I46" s="24"/>
      <c r="J46" s="24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9"/>
      <c r="D47" s="20"/>
      <c r="E47" s="20"/>
      <c r="F47" s="20"/>
      <c r="G47" s="20"/>
      <c r="H47" s="20"/>
      <c r="I47" s="24"/>
      <c r="J47" s="24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9"/>
      <c r="D48" s="20"/>
      <c r="E48" s="20"/>
      <c r="F48" s="20"/>
      <c r="G48" s="20"/>
      <c r="H48" s="20"/>
      <c r="I48" s="24"/>
      <c r="J48" s="24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9"/>
      <c r="D49" s="20"/>
      <c r="E49" s="20"/>
      <c r="F49" s="20"/>
      <c r="G49" s="20"/>
      <c r="H49" s="20"/>
      <c r="I49" s="24"/>
      <c r="J49" s="24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9"/>
      <c r="D50" s="20"/>
      <c r="E50" s="20"/>
      <c r="F50" s="20"/>
      <c r="G50" s="20"/>
      <c r="H50" s="20"/>
      <c r="I50" s="24"/>
      <c r="J50" s="24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9"/>
      <c r="D51" s="20"/>
      <c r="E51" s="20"/>
      <c r="F51" s="20"/>
      <c r="G51" s="20"/>
      <c r="H51" s="20"/>
      <c r="I51" s="24"/>
      <c r="J51" s="24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9"/>
      <c r="D52" s="20"/>
      <c r="E52" s="20"/>
      <c r="F52" s="20"/>
      <c r="G52" s="20"/>
      <c r="H52" s="20"/>
      <c r="I52" s="24"/>
      <c r="J52" s="24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9"/>
      <c r="D53" s="20"/>
      <c r="E53" s="20"/>
      <c r="F53" s="20"/>
      <c r="G53" s="20"/>
      <c r="H53" s="20"/>
      <c r="I53" s="24"/>
      <c r="J53" s="24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9"/>
      <c r="D54" s="20"/>
      <c r="E54" s="20"/>
      <c r="F54" s="20"/>
      <c r="G54" s="20"/>
      <c r="H54" s="20"/>
      <c r="I54" s="24"/>
      <c r="J54" s="24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9"/>
      <c r="D55" s="20"/>
      <c r="E55" s="20"/>
      <c r="F55" s="20"/>
      <c r="G55" s="20"/>
      <c r="H55" s="20"/>
      <c r="I55" s="24"/>
      <c r="J55" s="24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9"/>
      <c r="D56" s="20"/>
      <c r="E56" s="20"/>
      <c r="F56" s="20"/>
      <c r="G56" s="20"/>
      <c r="H56" s="20"/>
      <c r="I56" s="24"/>
      <c r="J56" s="24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9"/>
      <c r="D57" s="20"/>
      <c r="E57" s="20"/>
      <c r="F57" s="20"/>
      <c r="G57" s="20"/>
      <c r="H57" s="20"/>
      <c r="I57" s="24"/>
      <c r="J57" s="24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9"/>
      <c r="D58" s="20"/>
      <c r="E58" s="20"/>
      <c r="F58" s="20"/>
      <c r="G58" s="20"/>
      <c r="H58" s="20"/>
      <c r="I58" s="24"/>
      <c r="J58" s="24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9"/>
      <c r="D59" s="20"/>
      <c r="E59" s="20"/>
      <c r="F59" s="20"/>
      <c r="G59" s="20"/>
      <c r="H59" s="20"/>
      <c r="I59" s="24"/>
      <c r="J59" s="24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9"/>
      <c r="D60" s="20"/>
      <c r="E60" s="20"/>
      <c r="F60" s="20"/>
      <c r="G60" s="20"/>
      <c r="H60" s="20"/>
      <c r="I60" s="24"/>
      <c r="J60" s="24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9"/>
      <c r="D61" s="20"/>
      <c r="E61" s="20"/>
      <c r="F61" s="20"/>
      <c r="G61" s="20"/>
      <c r="H61" s="20"/>
      <c r="I61" s="24"/>
      <c r="J61" s="24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9"/>
      <c r="D62" s="20"/>
      <c r="E62" s="20"/>
      <c r="F62" s="20"/>
      <c r="G62" s="20"/>
      <c r="H62" s="20"/>
      <c r="I62" s="24"/>
      <c r="J62" s="24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9"/>
      <c r="D63" s="20"/>
      <c r="E63" s="20"/>
      <c r="F63" s="20"/>
      <c r="G63" s="20"/>
      <c r="H63" s="20"/>
      <c r="I63" s="24"/>
      <c r="J63" s="24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9"/>
      <c r="D64" s="20"/>
      <c r="E64" s="20"/>
      <c r="F64" s="20"/>
      <c r="G64" s="20"/>
      <c r="H64" s="20"/>
      <c r="I64" s="24"/>
      <c r="J64" s="24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9"/>
      <c r="D65" s="20"/>
      <c r="E65" s="20"/>
      <c r="F65" s="20"/>
      <c r="G65" s="20"/>
      <c r="H65" s="20"/>
      <c r="I65" s="24"/>
      <c r="J65" s="24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9"/>
      <c r="D66" s="20"/>
      <c r="E66" s="20"/>
      <c r="F66" s="20"/>
      <c r="G66" s="20"/>
      <c r="H66" s="20"/>
      <c r="I66" s="24"/>
      <c r="J66" s="24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9"/>
      <c r="D67" s="20"/>
      <c r="E67" s="20"/>
      <c r="F67" s="20"/>
      <c r="G67" s="20"/>
      <c r="H67" s="20"/>
      <c r="I67" s="24"/>
      <c r="J67" s="24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9"/>
      <c r="D68" s="20"/>
      <c r="E68" s="20"/>
      <c r="F68" s="20"/>
      <c r="G68" s="20"/>
      <c r="H68" s="20"/>
      <c r="I68" s="24"/>
      <c r="J68" s="24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9"/>
      <c r="D69" s="20"/>
      <c r="E69" s="20"/>
      <c r="F69" s="20"/>
      <c r="G69" s="20"/>
      <c r="H69" s="20"/>
      <c r="I69" s="24"/>
      <c r="J69" s="24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9"/>
      <c r="D70" s="20"/>
      <c r="E70" s="20"/>
      <c r="F70" s="20"/>
      <c r="G70" s="20"/>
      <c r="H70" s="20"/>
      <c r="I70" s="24"/>
      <c r="J70" s="24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9"/>
      <c r="D71" s="20"/>
      <c r="E71" s="20"/>
      <c r="F71" s="20"/>
      <c r="G71" s="20"/>
      <c r="H71" s="20"/>
      <c r="I71" s="24"/>
      <c r="J71" s="24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9"/>
      <c r="D72" s="20"/>
      <c r="E72" s="20"/>
      <c r="F72" s="20"/>
      <c r="G72" s="20"/>
      <c r="H72" s="20"/>
      <c r="I72" s="24"/>
      <c r="J72" s="24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9"/>
      <c r="D73" s="20"/>
      <c r="E73" s="20"/>
      <c r="F73" s="20"/>
      <c r="G73" s="20"/>
      <c r="H73" s="20"/>
      <c r="I73" s="24"/>
      <c r="J73" s="24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9"/>
      <c r="D74" s="20"/>
      <c r="E74" s="20"/>
      <c r="F74" s="20"/>
      <c r="G74" s="20"/>
      <c r="H74" s="20"/>
      <c r="I74" s="24"/>
      <c r="J74" s="24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9"/>
      <c r="D75" s="20"/>
      <c r="E75" s="20"/>
      <c r="F75" s="20"/>
      <c r="G75" s="20"/>
      <c r="H75" s="20"/>
      <c r="I75" s="24"/>
      <c r="J75" s="24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9"/>
      <c r="D76" s="20"/>
      <c r="E76" s="20"/>
      <c r="F76" s="20"/>
      <c r="G76" s="20"/>
      <c r="H76" s="20"/>
      <c r="I76" s="24"/>
      <c r="J76" s="24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9"/>
      <c r="D77" s="20"/>
      <c r="E77" s="20"/>
      <c r="F77" s="20"/>
      <c r="G77" s="20"/>
      <c r="H77" s="20"/>
      <c r="I77" s="24"/>
      <c r="J77" s="24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9"/>
      <c r="D78" s="20"/>
      <c r="E78" s="20"/>
      <c r="F78" s="20"/>
      <c r="G78" s="20"/>
      <c r="H78" s="20"/>
      <c r="I78" s="24"/>
      <c r="J78" s="24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9"/>
      <c r="D79" s="20"/>
      <c r="E79" s="20"/>
      <c r="F79" s="20"/>
      <c r="G79" s="20"/>
      <c r="H79" s="20"/>
      <c r="I79" s="24"/>
      <c r="J79" s="24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9"/>
      <c r="D80" s="20"/>
      <c r="E80" s="20"/>
      <c r="F80" s="20"/>
      <c r="G80" s="20"/>
      <c r="H80" s="20"/>
      <c r="I80" s="24"/>
      <c r="J80" s="24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9"/>
      <c r="D81" s="20"/>
      <c r="E81" s="20"/>
      <c r="F81" s="20"/>
      <c r="G81" s="20"/>
      <c r="H81" s="20"/>
      <c r="I81" s="24"/>
      <c r="J81" s="24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9"/>
      <c r="D82" s="20"/>
      <c r="E82" s="20"/>
      <c r="F82" s="20"/>
      <c r="G82" s="20"/>
      <c r="H82" s="20"/>
      <c r="I82" s="24"/>
      <c r="J82" s="24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9"/>
      <c r="D83" s="20"/>
      <c r="E83" s="20"/>
      <c r="F83" s="20"/>
      <c r="G83" s="20"/>
      <c r="H83" s="20"/>
      <c r="I83" s="24"/>
      <c r="J83" s="24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9"/>
      <c r="D84" s="20"/>
      <c r="E84" s="20"/>
      <c r="F84" s="20"/>
      <c r="G84" s="20"/>
      <c r="H84" s="20"/>
      <c r="I84" s="24"/>
      <c r="J84" s="24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9"/>
      <c r="D85" s="20"/>
      <c r="E85" s="20"/>
      <c r="F85" s="20"/>
      <c r="G85" s="20"/>
      <c r="H85" s="20"/>
      <c r="I85" s="24"/>
      <c r="J85" s="24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9"/>
      <c r="D86" s="20"/>
      <c r="E86" s="20"/>
      <c r="F86" s="20"/>
      <c r="G86" s="20"/>
      <c r="H86" s="20"/>
      <c r="I86" s="24"/>
      <c r="J86" s="24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9"/>
      <c r="D87" s="20"/>
      <c r="E87" s="20"/>
      <c r="F87" s="20"/>
      <c r="G87" s="20"/>
      <c r="H87" s="20"/>
      <c r="I87" s="24"/>
      <c r="J87" s="24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9"/>
      <c r="D88" s="20"/>
      <c r="E88" s="20"/>
      <c r="F88" s="20"/>
      <c r="G88" s="20"/>
      <c r="H88" s="20"/>
      <c r="I88" s="24"/>
      <c r="J88" s="24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9"/>
      <c r="D89" s="20"/>
      <c r="E89" s="20"/>
      <c r="F89" s="20"/>
      <c r="G89" s="20"/>
      <c r="H89" s="20"/>
      <c r="I89" s="24"/>
      <c r="J89" s="24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9"/>
      <c r="D90" s="20"/>
      <c r="E90" s="20"/>
      <c r="F90" s="20"/>
      <c r="G90" s="20"/>
      <c r="H90" s="20"/>
      <c r="I90" s="24"/>
      <c r="J90" s="24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9"/>
      <c r="D91" s="20"/>
      <c r="E91" s="20"/>
      <c r="F91" s="20"/>
      <c r="G91" s="20"/>
      <c r="H91" s="20"/>
      <c r="I91" s="24"/>
      <c r="J91" s="24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9"/>
      <c r="D92" s="20"/>
      <c r="E92" s="20"/>
      <c r="F92" s="20"/>
      <c r="G92" s="20"/>
      <c r="H92" s="20"/>
      <c r="I92" s="24"/>
      <c r="J92" s="24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9"/>
      <c r="D93" s="20"/>
      <c r="E93" s="20"/>
      <c r="F93" s="20"/>
      <c r="G93" s="20"/>
      <c r="H93" s="20"/>
      <c r="I93" s="24"/>
      <c r="J93" s="24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9"/>
      <c r="D94" s="20"/>
      <c r="E94" s="20"/>
      <c r="F94" s="20"/>
      <c r="G94" s="20"/>
      <c r="H94" s="20"/>
      <c r="I94" s="24"/>
      <c r="J94" s="24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9"/>
      <c r="D95" s="20"/>
      <c r="E95" s="20"/>
      <c r="F95" s="20"/>
      <c r="G95" s="20"/>
      <c r="H95" s="20"/>
      <c r="I95" s="24"/>
      <c r="J95" s="24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9"/>
      <c r="D96" s="20"/>
      <c r="E96" s="20"/>
      <c r="F96" s="20"/>
      <c r="G96" s="20"/>
      <c r="H96" s="20"/>
      <c r="I96" s="24"/>
      <c r="J96" s="24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9"/>
      <c r="D97" s="20"/>
      <c r="E97" s="20"/>
      <c r="F97" s="20"/>
      <c r="G97" s="20"/>
      <c r="H97" s="20"/>
      <c r="I97" s="24"/>
      <c r="J97" s="24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9"/>
      <c r="D98" s="20"/>
      <c r="E98" s="20"/>
      <c r="F98" s="20"/>
      <c r="G98" s="20"/>
      <c r="H98" s="20"/>
      <c r="I98" s="24"/>
      <c r="J98" s="24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9"/>
      <c r="D99" s="20"/>
      <c r="E99" s="20"/>
      <c r="F99" s="20"/>
      <c r="G99" s="20"/>
      <c r="H99" s="20"/>
      <c r="I99" s="24"/>
      <c r="J99" s="24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9"/>
      <c r="D100" s="20"/>
      <c r="E100" s="20"/>
      <c r="F100" s="20"/>
      <c r="G100" s="20"/>
      <c r="H100" s="20"/>
      <c r="I100" s="24"/>
      <c r="J100" s="24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9"/>
      <c r="D101" s="20"/>
      <c r="E101" s="20"/>
      <c r="F101" s="20"/>
      <c r="G101" s="20"/>
      <c r="H101" s="20"/>
      <c r="I101" s="24"/>
      <c r="J101" s="24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9"/>
      <c r="D102" s="20"/>
      <c r="E102" s="20"/>
      <c r="F102" s="20"/>
      <c r="G102" s="20"/>
      <c r="H102" s="20"/>
      <c r="I102" s="24"/>
      <c r="J102" s="24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9"/>
      <c r="D103" s="20"/>
      <c r="E103" s="20"/>
      <c r="F103" s="20"/>
      <c r="G103" s="20"/>
      <c r="H103" s="20"/>
      <c r="I103" s="24"/>
      <c r="J103" s="24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9"/>
      <c r="D104" s="20"/>
      <c r="E104" s="20"/>
      <c r="F104" s="20"/>
      <c r="G104" s="20"/>
      <c r="H104" s="20"/>
      <c r="I104" s="24"/>
      <c r="J104" s="24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9"/>
      <c r="D105" s="20"/>
      <c r="E105" s="20"/>
      <c r="F105" s="20"/>
      <c r="G105" s="20"/>
      <c r="H105" s="20"/>
      <c r="I105" s="24"/>
      <c r="J105" s="24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9"/>
      <c r="D106" s="20"/>
      <c r="E106" s="20"/>
      <c r="F106" s="20"/>
      <c r="G106" s="20"/>
      <c r="H106" s="20"/>
      <c r="I106" s="24"/>
      <c r="J106" s="24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9"/>
      <c r="D107" s="20"/>
      <c r="E107" s="20"/>
      <c r="F107" s="20"/>
      <c r="G107" s="20"/>
      <c r="H107" s="20"/>
      <c r="I107" s="24"/>
      <c r="J107" s="24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9"/>
      <c r="D108" s="20"/>
      <c r="E108" s="20"/>
      <c r="F108" s="20"/>
      <c r="G108" s="20"/>
      <c r="H108" s="20"/>
      <c r="I108" s="24"/>
      <c r="J108" s="2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9"/>
      <c r="D109" s="20"/>
      <c r="E109" s="20"/>
      <c r="F109" s="20"/>
      <c r="G109" s="20"/>
      <c r="H109" s="20"/>
      <c r="I109" s="24"/>
      <c r="J109" s="24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9"/>
      <c r="D110" s="20"/>
      <c r="E110" s="20"/>
      <c r="F110" s="20"/>
      <c r="G110" s="20"/>
      <c r="H110" s="20"/>
      <c r="I110" s="24"/>
      <c r="J110" s="24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9"/>
      <c r="D111" s="20"/>
      <c r="E111" s="20"/>
      <c r="F111" s="20"/>
      <c r="G111" s="20"/>
      <c r="H111" s="20"/>
      <c r="I111" s="24"/>
      <c r="J111" s="24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9"/>
      <c r="D112" s="20"/>
      <c r="E112" s="20"/>
      <c r="F112" s="20"/>
      <c r="G112" s="20"/>
      <c r="H112" s="20"/>
      <c r="I112" s="24"/>
      <c r="J112" s="24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9"/>
      <c r="D113" s="20"/>
      <c r="E113" s="20"/>
      <c r="F113" s="20"/>
      <c r="G113" s="20"/>
      <c r="H113" s="20"/>
      <c r="I113" s="24"/>
      <c r="J113" s="24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9"/>
      <c r="D114" s="20"/>
      <c r="E114" s="20"/>
      <c r="F114" s="20"/>
      <c r="G114" s="20"/>
      <c r="H114" s="20"/>
      <c r="I114" s="24"/>
      <c r="J114" s="24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9"/>
      <c r="D115" s="20"/>
      <c r="E115" s="20"/>
      <c r="F115" s="20"/>
      <c r="G115" s="20"/>
      <c r="H115" s="20"/>
      <c r="I115" s="24"/>
      <c r="J115" s="24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9"/>
      <c r="D116" s="20"/>
      <c r="E116" s="20"/>
      <c r="F116" s="20"/>
      <c r="G116" s="20"/>
      <c r="H116" s="20"/>
      <c r="I116" s="24"/>
      <c r="J116" s="24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9"/>
      <c r="D117" s="20"/>
      <c r="E117" s="20"/>
      <c r="F117" s="20"/>
      <c r="G117" s="20"/>
      <c r="H117" s="20"/>
      <c r="I117" s="24"/>
      <c r="J117" s="24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9"/>
      <c r="D118" s="20"/>
      <c r="E118" s="20"/>
      <c r="F118" s="20"/>
      <c r="G118" s="20"/>
      <c r="H118" s="20"/>
      <c r="I118" s="24"/>
      <c r="J118" s="24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9"/>
      <c r="D119" s="20"/>
      <c r="E119" s="20"/>
      <c r="F119" s="20"/>
      <c r="G119" s="20"/>
      <c r="H119" s="20"/>
      <c r="I119" s="24"/>
      <c r="J119" s="24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9"/>
      <c r="D120" s="20"/>
      <c r="E120" s="20"/>
      <c r="F120" s="20"/>
      <c r="G120" s="20"/>
      <c r="H120" s="20"/>
      <c r="I120" s="24"/>
      <c r="J120" s="24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9"/>
      <c r="D121" s="20"/>
      <c r="E121" s="20"/>
      <c r="F121" s="20"/>
      <c r="G121" s="20"/>
      <c r="H121" s="20"/>
      <c r="I121" s="24"/>
      <c r="J121" s="24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9"/>
      <c r="D122" s="20"/>
      <c r="E122" s="20"/>
      <c r="F122" s="20"/>
      <c r="G122" s="20"/>
      <c r="H122" s="20"/>
      <c r="I122" s="24"/>
      <c r="J122" s="24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9"/>
      <c r="D123" s="20"/>
      <c r="E123" s="20"/>
      <c r="F123" s="20"/>
      <c r="G123" s="20"/>
      <c r="H123" s="20"/>
      <c r="I123" s="24"/>
      <c r="J123" s="24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9"/>
      <c r="D124" s="20"/>
      <c r="E124" s="20"/>
      <c r="F124" s="20"/>
      <c r="G124" s="20"/>
      <c r="H124" s="20"/>
      <c r="I124" s="24"/>
      <c r="J124" s="24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9"/>
      <c r="D125" s="20"/>
      <c r="E125" s="20"/>
      <c r="F125" s="20"/>
      <c r="G125" s="20"/>
      <c r="H125" s="20"/>
      <c r="I125" s="24"/>
      <c r="J125" s="24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9"/>
      <c r="D126" s="20"/>
      <c r="E126" s="20"/>
      <c r="F126" s="20"/>
      <c r="G126" s="20"/>
      <c r="H126" s="20"/>
      <c r="I126" s="24"/>
      <c r="J126" s="24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9"/>
      <c r="D127" s="20"/>
      <c r="E127" s="20"/>
      <c r="F127" s="20"/>
      <c r="G127" s="20"/>
      <c r="H127" s="20"/>
      <c r="I127" s="24"/>
      <c r="J127" s="24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9"/>
      <c r="D128" s="20"/>
      <c r="E128" s="20"/>
      <c r="F128" s="20"/>
      <c r="G128" s="20"/>
      <c r="H128" s="20"/>
      <c r="I128" s="24"/>
      <c r="J128" s="24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9"/>
      <c r="D129" s="20"/>
      <c r="E129" s="20"/>
      <c r="F129" s="20"/>
      <c r="G129" s="20"/>
      <c r="H129" s="20"/>
      <c r="I129" s="24"/>
      <c r="J129" s="24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9"/>
      <c r="D130" s="20"/>
      <c r="E130" s="20"/>
      <c r="F130" s="20"/>
      <c r="G130" s="20"/>
      <c r="H130" s="20"/>
      <c r="I130" s="24"/>
      <c r="J130" s="24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9"/>
      <c r="D131" s="20"/>
      <c r="E131" s="20"/>
      <c r="F131" s="20"/>
      <c r="G131" s="20"/>
      <c r="H131" s="20"/>
      <c r="I131" s="24"/>
      <c r="J131" s="24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9"/>
      <c r="D132" s="20"/>
      <c r="E132" s="20"/>
      <c r="F132" s="20"/>
      <c r="G132" s="20"/>
      <c r="H132" s="20"/>
      <c r="I132" s="24"/>
      <c r="J132" s="24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9"/>
      <c r="D133" s="20"/>
      <c r="E133" s="20"/>
      <c r="F133" s="20"/>
      <c r="G133" s="20"/>
      <c r="H133" s="20"/>
      <c r="I133" s="24"/>
      <c r="J133" s="24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9"/>
      <c r="D134" s="20"/>
      <c r="E134" s="20"/>
      <c r="F134" s="20"/>
      <c r="G134" s="20"/>
      <c r="H134" s="20"/>
      <c r="I134" s="24"/>
      <c r="J134" s="24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9"/>
      <c r="D135" s="20"/>
      <c r="E135" s="20"/>
      <c r="F135" s="20"/>
      <c r="G135" s="20"/>
      <c r="H135" s="20"/>
      <c r="I135" s="24"/>
      <c r="J135" s="24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9"/>
      <c r="D136" s="20"/>
      <c r="E136" s="20"/>
      <c r="F136" s="20"/>
      <c r="G136" s="20"/>
      <c r="H136" s="20"/>
      <c r="I136" s="24"/>
      <c r="J136" s="24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9"/>
      <c r="D137" s="20"/>
      <c r="E137" s="20"/>
      <c r="F137" s="20"/>
      <c r="G137" s="20"/>
      <c r="H137" s="20"/>
      <c r="I137" s="24"/>
      <c r="J137" s="24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9"/>
      <c r="D138" s="20"/>
      <c r="E138" s="20"/>
      <c r="F138" s="20"/>
      <c r="G138" s="20"/>
      <c r="H138" s="20"/>
      <c r="I138" s="24"/>
      <c r="J138" s="24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9"/>
      <c r="D139" s="20"/>
      <c r="E139" s="20"/>
      <c r="F139" s="20"/>
      <c r="G139" s="20"/>
      <c r="H139" s="20"/>
      <c r="I139" s="24"/>
      <c r="J139" s="24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9"/>
      <c r="D140" s="20"/>
      <c r="E140" s="20"/>
      <c r="F140" s="20"/>
      <c r="G140" s="20"/>
      <c r="H140" s="20"/>
      <c r="I140" s="24"/>
      <c r="J140" s="24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9"/>
      <c r="D141" s="20"/>
      <c r="E141" s="20"/>
      <c r="F141" s="20"/>
      <c r="G141" s="20"/>
      <c r="H141" s="20"/>
      <c r="I141" s="24"/>
      <c r="J141" s="24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9"/>
      <c r="D142" s="20"/>
      <c r="E142" s="20"/>
      <c r="F142" s="20"/>
      <c r="G142" s="20"/>
      <c r="H142" s="20"/>
      <c r="I142" s="24"/>
      <c r="J142" s="24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9"/>
      <c r="D143" s="20"/>
      <c r="E143" s="20"/>
      <c r="F143" s="20"/>
      <c r="G143" s="20"/>
      <c r="H143" s="20"/>
      <c r="I143" s="24"/>
      <c r="J143" s="24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9"/>
      <c r="D144" s="20"/>
      <c r="E144" s="20"/>
      <c r="F144" s="20"/>
      <c r="G144" s="20"/>
      <c r="H144" s="20"/>
      <c r="I144" s="24"/>
      <c r="J144" s="24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9"/>
      <c r="D145" s="20"/>
      <c r="E145" s="20"/>
      <c r="F145" s="20"/>
      <c r="G145" s="20"/>
      <c r="H145" s="20"/>
      <c r="I145" s="24"/>
      <c r="J145" s="24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9"/>
      <c r="D146" s="20"/>
      <c r="E146" s="20"/>
      <c r="F146" s="20"/>
      <c r="G146" s="20"/>
      <c r="H146" s="20"/>
      <c r="I146" s="24"/>
      <c r="J146" s="24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9"/>
      <c r="D147" s="20"/>
      <c r="E147" s="20"/>
      <c r="F147" s="20"/>
      <c r="G147" s="20"/>
      <c r="H147" s="20"/>
      <c r="I147" s="24"/>
      <c r="J147" s="24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9"/>
      <c r="D148" s="20"/>
      <c r="E148" s="20"/>
      <c r="F148" s="20"/>
      <c r="G148" s="20"/>
      <c r="H148" s="20"/>
      <c r="I148" s="24"/>
      <c r="J148" s="24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9"/>
      <c r="D149" s="20"/>
      <c r="E149" s="20"/>
      <c r="F149" s="20"/>
      <c r="G149" s="20"/>
      <c r="H149" s="20"/>
      <c r="I149" s="24"/>
      <c r="J149" s="24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9"/>
      <c r="D150" s="20"/>
      <c r="E150" s="20"/>
      <c r="F150" s="20"/>
      <c r="G150" s="20"/>
      <c r="H150" s="20"/>
      <c r="I150" s="24"/>
      <c r="J150" s="24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9"/>
      <c r="D151" s="20"/>
      <c r="E151" s="20"/>
      <c r="F151" s="20"/>
      <c r="G151" s="20"/>
      <c r="H151" s="20"/>
      <c r="I151" s="24"/>
      <c r="J151" s="24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9"/>
      <c r="D152" s="20"/>
      <c r="E152" s="20"/>
      <c r="F152" s="20"/>
      <c r="G152" s="20"/>
      <c r="H152" s="20"/>
      <c r="I152" s="24"/>
      <c r="J152" s="24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9"/>
      <c r="D153" s="20"/>
      <c r="E153" s="20"/>
      <c r="F153" s="20"/>
      <c r="G153" s="20"/>
      <c r="H153" s="20"/>
      <c r="I153" s="24"/>
      <c r="J153" s="24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9"/>
      <c r="D154" s="20"/>
      <c r="E154" s="20"/>
      <c r="F154" s="20"/>
      <c r="G154" s="20"/>
      <c r="H154" s="20"/>
      <c r="I154" s="24"/>
      <c r="J154" s="24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9"/>
      <c r="D155" s="20"/>
      <c r="E155" s="20"/>
      <c r="F155" s="20"/>
      <c r="G155" s="20"/>
      <c r="H155" s="20"/>
      <c r="I155" s="24"/>
      <c r="J155" s="24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9"/>
      <c r="D156" s="20"/>
      <c r="E156" s="20"/>
      <c r="F156" s="20"/>
      <c r="G156" s="20"/>
      <c r="H156" s="20"/>
      <c r="I156" s="24"/>
      <c r="J156" s="24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9"/>
      <c r="D157" s="20"/>
      <c r="E157" s="20"/>
      <c r="F157" s="20"/>
      <c r="G157" s="20"/>
      <c r="H157" s="20"/>
      <c r="I157" s="24"/>
      <c r="J157" s="24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9"/>
      <c r="D158" s="20"/>
      <c r="E158" s="20"/>
      <c r="F158" s="20"/>
      <c r="G158" s="20"/>
      <c r="H158" s="20"/>
      <c r="I158" s="24"/>
      <c r="J158" s="24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9"/>
      <c r="D159" s="20"/>
      <c r="E159" s="20"/>
      <c r="F159" s="20"/>
      <c r="G159" s="20"/>
      <c r="H159" s="20"/>
      <c r="I159" s="24"/>
      <c r="J159" s="24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9"/>
      <c r="D160" s="20"/>
      <c r="E160" s="20"/>
      <c r="F160" s="20"/>
      <c r="G160" s="20"/>
      <c r="H160" s="20"/>
      <c r="I160" s="24"/>
      <c r="J160" s="24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9"/>
      <c r="D161" s="20"/>
      <c r="E161" s="20"/>
      <c r="F161" s="20"/>
      <c r="G161" s="20"/>
      <c r="H161" s="20"/>
      <c r="I161" s="24"/>
      <c r="J161" s="24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9"/>
      <c r="D162" s="20"/>
      <c r="E162" s="20"/>
      <c r="F162" s="20"/>
      <c r="G162" s="20"/>
      <c r="H162" s="20"/>
      <c r="I162" s="24"/>
      <c r="J162" s="24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9"/>
      <c r="D163" s="20"/>
      <c r="E163" s="20"/>
      <c r="F163" s="20"/>
      <c r="G163" s="20"/>
      <c r="H163" s="20"/>
      <c r="I163" s="24"/>
      <c r="J163" s="24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9"/>
      <c r="D164" s="20"/>
      <c r="E164" s="20"/>
      <c r="F164" s="20"/>
      <c r="G164" s="20"/>
      <c r="H164" s="20"/>
      <c r="I164" s="24"/>
      <c r="J164" s="24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9"/>
      <c r="D165" s="20"/>
      <c r="E165" s="20"/>
      <c r="F165" s="20"/>
      <c r="G165" s="20"/>
      <c r="H165" s="20"/>
      <c r="I165" s="24"/>
      <c r="J165" s="24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9"/>
      <c r="D166" s="20"/>
      <c r="E166" s="20"/>
      <c r="F166" s="20"/>
      <c r="G166" s="20"/>
      <c r="H166" s="20"/>
      <c r="I166" s="24"/>
      <c r="J166" s="24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9"/>
      <c r="D167" s="20"/>
      <c r="E167" s="20"/>
      <c r="F167" s="20"/>
      <c r="G167" s="20"/>
      <c r="H167" s="20"/>
      <c r="I167" s="24"/>
      <c r="J167" s="24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9"/>
      <c r="D168" s="20"/>
      <c r="E168" s="20"/>
      <c r="F168" s="20"/>
      <c r="G168" s="20"/>
      <c r="H168" s="20"/>
      <c r="I168" s="24"/>
      <c r="J168" s="24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9"/>
      <c r="D169" s="20"/>
      <c r="E169" s="20"/>
      <c r="F169" s="20"/>
      <c r="G169" s="20"/>
      <c r="H169" s="20"/>
      <c r="I169" s="24"/>
      <c r="J169" s="24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9"/>
      <c r="D170" s="20"/>
      <c r="E170" s="20"/>
      <c r="F170" s="20"/>
      <c r="G170" s="20"/>
      <c r="H170" s="20"/>
      <c r="I170" s="24"/>
      <c r="J170" s="24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9"/>
      <c r="D171" s="20"/>
      <c r="E171" s="20"/>
      <c r="F171" s="20"/>
      <c r="G171" s="20"/>
      <c r="H171" s="20"/>
      <c r="I171" s="24"/>
      <c r="J171" s="24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9"/>
      <c r="D172" s="20"/>
      <c r="E172" s="20"/>
      <c r="F172" s="20"/>
      <c r="G172" s="20"/>
      <c r="H172" s="20"/>
      <c r="I172" s="24"/>
      <c r="J172" s="24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9"/>
      <c r="D173" s="20"/>
      <c r="E173" s="20"/>
      <c r="F173" s="20"/>
      <c r="G173" s="20"/>
      <c r="H173" s="20"/>
      <c r="I173" s="24"/>
      <c r="J173" s="24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9"/>
      <c r="D174" s="20"/>
      <c r="E174" s="20"/>
      <c r="F174" s="20"/>
      <c r="G174" s="20"/>
      <c r="H174" s="20"/>
      <c r="I174" s="24"/>
      <c r="J174" s="24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9"/>
      <c r="D175" s="20"/>
      <c r="E175" s="20"/>
      <c r="F175" s="20"/>
      <c r="G175" s="20"/>
      <c r="H175" s="20"/>
      <c r="I175" s="24"/>
      <c r="J175" s="24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9"/>
      <c r="D176" s="20"/>
      <c r="E176" s="20"/>
      <c r="F176" s="20"/>
      <c r="G176" s="20"/>
      <c r="H176" s="20"/>
      <c r="I176" s="24"/>
      <c r="J176" s="24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9"/>
      <c r="D177" s="20"/>
      <c r="E177" s="20"/>
      <c r="F177" s="20"/>
      <c r="G177" s="20"/>
      <c r="H177" s="20"/>
      <c r="I177" s="24"/>
      <c r="J177" s="24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9"/>
      <c r="D178" s="20"/>
      <c r="E178" s="20"/>
      <c r="F178" s="20"/>
      <c r="G178" s="20"/>
      <c r="H178" s="20"/>
      <c r="I178" s="24"/>
      <c r="J178" s="24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9"/>
      <c r="D179" s="20"/>
      <c r="E179" s="20"/>
      <c r="F179" s="20"/>
      <c r="G179" s="20"/>
      <c r="H179" s="20"/>
      <c r="I179" s="24"/>
      <c r="J179" s="24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9"/>
      <c r="D180" s="20"/>
      <c r="E180" s="20"/>
      <c r="F180" s="20"/>
      <c r="G180" s="20"/>
      <c r="H180" s="20"/>
      <c r="I180" s="24"/>
      <c r="J180" s="24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9"/>
      <c r="D181" s="20"/>
      <c r="E181" s="20"/>
      <c r="F181" s="20"/>
      <c r="G181" s="20"/>
      <c r="H181" s="20"/>
      <c r="I181" s="24"/>
      <c r="J181" s="24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9"/>
      <c r="D182" s="20"/>
      <c r="E182" s="20"/>
      <c r="F182" s="20"/>
      <c r="G182" s="20"/>
      <c r="H182" s="20"/>
      <c r="I182" s="24"/>
      <c r="J182" s="24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9"/>
      <c r="D183" s="20"/>
      <c r="E183" s="20"/>
      <c r="F183" s="20"/>
      <c r="G183" s="20"/>
      <c r="H183" s="20"/>
      <c r="I183" s="24"/>
      <c r="J183" s="24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9"/>
      <c r="D184" s="20"/>
      <c r="E184" s="20"/>
      <c r="F184" s="20"/>
      <c r="G184" s="20"/>
      <c r="H184" s="20"/>
      <c r="I184" s="24"/>
      <c r="J184" s="24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9"/>
      <c r="D185" s="20"/>
      <c r="E185" s="20"/>
      <c r="F185" s="20"/>
      <c r="G185" s="20"/>
      <c r="H185" s="20"/>
      <c r="I185" s="24"/>
      <c r="J185" s="24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9"/>
      <c r="D186" s="20"/>
      <c r="E186" s="20"/>
      <c r="F186" s="20"/>
      <c r="G186" s="20"/>
      <c r="H186" s="20"/>
      <c r="I186" s="24"/>
      <c r="J186" s="24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9"/>
      <c r="D187" s="20"/>
      <c r="E187" s="20"/>
      <c r="F187" s="20"/>
      <c r="G187" s="20"/>
      <c r="H187" s="20"/>
      <c r="I187" s="24"/>
      <c r="J187" s="24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9"/>
      <c r="D188" s="20"/>
      <c r="E188" s="20"/>
      <c r="F188" s="20"/>
      <c r="G188" s="20"/>
      <c r="H188" s="20"/>
      <c r="I188" s="24"/>
      <c r="J188" s="24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9"/>
      <c r="D189" s="20"/>
      <c r="E189" s="20"/>
      <c r="F189" s="20"/>
      <c r="G189" s="20"/>
      <c r="H189" s="20"/>
      <c r="I189" s="24"/>
      <c r="J189" s="24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9"/>
      <c r="D190" s="20"/>
      <c r="E190" s="20"/>
      <c r="F190" s="20"/>
      <c r="G190" s="20"/>
      <c r="H190" s="20"/>
      <c r="I190" s="24"/>
      <c r="J190" s="24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9"/>
      <c r="D191" s="20"/>
      <c r="E191" s="20"/>
      <c r="F191" s="20"/>
      <c r="G191" s="20"/>
      <c r="H191" s="20"/>
      <c r="I191" s="24"/>
      <c r="J191" s="24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9"/>
      <c r="D192" s="20"/>
      <c r="E192" s="20"/>
      <c r="F192" s="20"/>
      <c r="G192" s="20"/>
      <c r="H192" s="20"/>
      <c r="I192" s="24"/>
      <c r="J192" s="24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9"/>
      <c r="D193" s="20"/>
      <c r="E193" s="20"/>
      <c r="F193" s="20"/>
      <c r="G193" s="20"/>
      <c r="H193" s="20"/>
      <c r="I193" s="24"/>
      <c r="J193" s="24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9"/>
      <c r="D194" s="20"/>
      <c r="E194" s="20"/>
      <c r="F194" s="20"/>
      <c r="G194" s="20"/>
      <c r="H194" s="20"/>
      <c r="I194" s="24"/>
      <c r="J194" s="24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9"/>
      <c r="D195" s="20"/>
      <c r="E195" s="20"/>
      <c r="F195" s="20"/>
      <c r="G195" s="20"/>
      <c r="H195" s="20"/>
      <c r="I195" s="24"/>
      <c r="J195" s="24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9"/>
      <c r="D196" s="20"/>
      <c r="E196" s="20"/>
      <c r="F196" s="20"/>
      <c r="G196" s="20"/>
      <c r="H196" s="20"/>
      <c r="I196" s="24"/>
      <c r="J196" s="24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9"/>
      <c r="D197" s="20"/>
      <c r="E197" s="20"/>
      <c r="F197" s="20"/>
      <c r="G197" s="20"/>
      <c r="H197" s="20"/>
      <c r="I197" s="24"/>
      <c r="J197" s="24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9"/>
      <c r="D198" s="20"/>
      <c r="E198" s="20"/>
      <c r="F198" s="20"/>
      <c r="G198" s="20"/>
      <c r="H198" s="20"/>
      <c r="I198" s="24"/>
      <c r="J198" s="24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9"/>
      <c r="D199" s="20"/>
      <c r="E199" s="20"/>
      <c r="F199" s="20"/>
      <c r="G199" s="20"/>
      <c r="H199" s="20"/>
      <c r="I199" s="24"/>
      <c r="J199" s="24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9"/>
      <c r="D200" s="20"/>
      <c r="E200" s="20"/>
      <c r="F200" s="20"/>
      <c r="G200" s="20"/>
      <c r="H200" s="20"/>
      <c r="I200" s="24"/>
      <c r="J200" s="24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9"/>
      <c r="D201" s="20"/>
      <c r="E201" s="20"/>
      <c r="F201" s="20"/>
      <c r="G201" s="20"/>
      <c r="H201" s="20"/>
      <c r="I201" s="24"/>
      <c r="J201" s="24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9"/>
      <c r="D202" s="20"/>
      <c r="E202" s="20"/>
      <c r="F202" s="20"/>
      <c r="G202" s="20"/>
      <c r="H202" s="20"/>
      <c r="I202" s="24"/>
      <c r="J202" s="24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9"/>
      <c r="D203" s="20"/>
      <c r="E203" s="20"/>
      <c r="F203" s="20"/>
      <c r="G203" s="20"/>
      <c r="H203" s="20"/>
      <c r="I203" s="24"/>
      <c r="J203" s="24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9"/>
      <c r="D204" s="20"/>
      <c r="E204" s="20"/>
      <c r="F204" s="20"/>
      <c r="G204" s="20"/>
      <c r="H204" s="20"/>
      <c r="I204" s="24"/>
      <c r="J204" s="24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9"/>
      <c r="D205" s="20"/>
      <c r="E205" s="20"/>
      <c r="F205" s="20"/>
      <c r="G205" s="20"/>
      <c r="H205" s="20"/>
      <c r="I205" s="24"/>
      <c r="J205" s="24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9"/>
      <c r="D206" s="20"/>
      <c r="E206" s="20"/>
      <c r="F206" s="20"/>
      <c r="G206" s="20"/>
      <c r="H206" s="20"/>
      <c r="I206" s="24"/>
      <c r="J206" s="24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9"/>
      <c r="D207" s="20"/>
      <c r="E207" s="20"/>
      <c r="F207" s="20"/>
      <c r="G207" s="20"/>
      <c r="H207" s="20"/>
      <c r="I207" s="24"/>
      <c r="J207" s="24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9"/>
      <c r="D208" s="20"/>
      <c r="E208" s="20"/>
      <c r="F208" s="20"/>
      <c r="G208" s="20"/>
      <c r="H208" s="20"/>
      <c r="I208" s="24"/>
      <c r="J208" s="24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9"/>
      <c r="D209" s="20"/>
      <c r="E209" s="20"/>
      <c r="F209" s="20"/>
      <c r="G209" s="20"/>
      <c r="H209" s="20"/>
      <c r="I209" s="24"/>
      <c r="J209" s="24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9"/>
      <c r="D210" s="20"/>
      <c r="E210" s="20"/>
      <c r="F210" s="20"/>
      <c r="G210" s="20"/>
      <c r="H210" s="20"/>
      <c r="I210" s="24"/>
      <c r="J210" s="24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9"/>
      <c r="D211" s="20"/>
      <c r="E211" s="20"/>
      <c r="F211" s="20"/>
      <c r="G211" s="20"/>
      <c r="H211" s="20"/>
      <c r="I211" s="24"/>
      <c r="J211" s="24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9"/>
      <c r="D212" s="20"/>
      <c r="E212" s="20"/>
      <c r="F212" s="20"/>
      <c r="G212" s="20"/>
      <c r="H212" s="20"/>
      <c r="I212" s="24"/>
      <c r="J212" s="24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9"/>
      <c r="D213" s="20"/>
      <c r="E213" s="20"/>
      <c r="F213" s="20"/>
      <c r="G213" s="20"/>
      <c r="H213" s="20"/>
      <c r="I213" s="24"/>
      <c r="J213" s="24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9"/>
      <c r="D214" s="20"/>
      <c r="E214" s="20"/>
      <c r="F214" s="20"/>
      <c r="G214" s="20"/>
      <c r="H214" s="20"/>
      <c r="I214" s="24"/>
      <c r="J214" s="24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9"/>
      <c r="D215" s="20"/>
      <c r="E215" s="20"/>
      <c r="F215" s="20"/>
      <c r="G215" s="20"/>
      <c r="H215" s="20"/>
      <c r="I215" s="24"/>
      <c r="J215" s="24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9"/>
      <c r="D216" s="20"/>
      <c r="E216" s="20"/>
      <c r="F216" s="20"/>
      <c r="G216" s="20"/>
      <c r="H216" s="20"/>
      <c r="I216" s="24"/>
      <c r="J216" s="24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9"/>
      <c r="D217" s="20"/>
      <c r="E217" s="20"/>
      <c r="F217" s="20"/>
      <c r="G217" s="20"/>
      <c r="H217" s="20"/>
      <c r="I217" s="24"/>
      <c r="J217" s="24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9"/>
      <c r="D218" s="20"/>
      <c r="E218" s="20"/>
      <c r="F218" s="20"/>
      <c r="G218" s="20"/>
      <c r="H218" s="20"/>
      <c r="I218" s="24"/>
      <c r="J218" s="24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9"/>
      <c r="D219" s="20"/>
      <c r="E219" s="20"/>
      <c r="F219" s="20"/>
      <c r="G219" s="20"/>
      <c r="H219" s="20"/>
      <c r="I219" s="24"/>
      <c r="J219" s="24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9"/>
      <c r="D220" s="20"/>
      <c r="E220" s="20"/>
      <c r="F220" s="20"/>
      <c r="G220" s="20"/>
      <c r="H220" s="20"/>
      <c r="I220" s="24"/>
      <c r="J220" s="24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9"/>
      <c r="D221" s="20"/>
      <c r="E221" s="20"/>
      <c r="F221" s="20"/>
      <c r="G221" s="20"/>
      <c r="H221" s="20"/>
      <c r="I221" s="24"/>
      <c r="J221" s="24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9"/>
      <c r="D222" s="20"/>
      <c r="E222" s="20"/>
      <c r="F222" s="20"/>
      <c r="G222" s="20"/>
      <c r="H222" s="20"/>
      <c r="I222" s="24"/>
      <c r="J222" s="24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9"/>
      <c r="D223" s="20"/>
      <c r="E223" s="20"/>
      <c r="F223" s="20"/>
      <c r="G223" s="20"/>
      <c r="H223" s="20"/>
      <c r="I223" s="24"/>
      <c r="J223" s="24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9"/>
      <c r="D224" s="20"/>
      <c r="E224" s="20"/>
      <c r="F224" s="20"/>
      <c r="G224" s="20"/>
      <c r="H224" s="20"/>
      <c r="I224" s="24"/>
      <c r="J224" s="24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9"/>
      <c r="D225" s="20"/>
      <c r="E225" s="20"/>
      <c r="F225" s="20"/>
      <c r="G225" s="20"/>
      <c r="H225" s="20"/>
      <c r="I225" s="24"/>
      <c r="J225" s="24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9"/>
      <c r="D226" s="20"/>
      <c r="E226" s="20"/>
      <c r="F226" s="20"/>
      <c r="G226" s="20"/>
      <c r="H226" s="20"/>
      <c r="I226" s="24"/>
      <c r="J226" s="24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9"/>
      <c r="D227" s="20"/>
      <c r="E227" s="20"/>
      <c r="F227" s="20"/>
      <c r="G227" s="20"/>
      <c r="H227" s="20"/>
      <c r="I227" s="24"/>
      <c r="J227" s="24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9"/>
      <c r="D228" s="20"/>
      <c r="E228" s="20"/>
      <c r="F228" s="20"/>
      <c r="G228" s="20"/>
      <c r="H228" s="20"/>
      <c r="I228" s="24"/>
      <c r="J228" s="24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9"/>
      <c r="D229" s="20"/>
      <c r="E229" s="20"/>
      <c r="F229" s="20"/>
      <c r="G229" s="20"/>
      <c r="H229" s="20"/>
      <c r="I229" s="24"/>
      <c r="J229" s="24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9"/>
      <c r="D230" s="20"/>
      <c r="E230" s="20"/>
      <c r="F230" s="20"/>
      <c r="G230" s="20"/>
      <c r="H230" s="20"/>
      <c r="I230" s="24"/>
      <c r="J230" s="24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9"/>
      <c r="D231" s="20"/>
      <c r="E231" s="20"/>
      <c r="F231" s="20"/>
      <c r="G231" s="20"/>
      <c r="H231" s="20"/>
      <c r="I231" s="24"/>
      <c r="J231" s="24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9"/>
      <c r="D232" s="20"/>
      <c r="E232" s="20"/>
      <c r="F232" s="20"/>
      <c r="G232" s="20"/>
      <c r="H232" s="20"/>
      <c r="I232" s="24"/>
      <c r="J232" s="24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9"/>
      <c r="D233" s="20"/>
      <c r="E233" s="20"/>
      <c r="F233" s="20"/>
      <c r="G233" s="20"/>
      <c r="H233" s="20"/>
      <c r="I233" s="24"/>
      <c r="J233" s="24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9"/>
      <c r="D234" s="20"/>
      <c r="E234" s="20"/>
      <c r="F234" s="20"/>
      <c r="G234" s="20"/>
      <c r="H234" s="20"/>
      <c r="I234" s="24"/>
      <c r="J234" s="2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9"/>
      <c r="D235" s="20"/>
      <c r="E235" s="20"/>
      <c r="F235" s="20"/>
      <c r="G235" s="20"/>
      <c r="H235" s="20"/>
      <c r="I235" s="24"/>
      <c r="J235" s="2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9"/>
      <c r="D236" s="20"/>
      <c r="E236" s="20"/>
      <c r="F236" s="20"/>
      <c r="G236" s="20"/>
      <c r="H236" s="20"/>
      <c r="I236" s="24"/>
      <c r="J236" s="24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9"/>
      <c r="D237" s="20"/>
      <c r="E237" s="20"/>
      <c r="F237" s="20"/>
      <c r="G237" s="20"/>
      <c r="H237" s="20"/>
      <c r="I237" s="24"/>
      <c r="J237" s="24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9"/>
      <c r="D238" s="20"/>
      <c r="E238" s="20"/>
      <c r="F238" s="20"/>
      <c r="G238" s="20"/>
      <c r="H238" s="20"/>
      <c r="I238" s="24"/>
      <c r="J238" s="24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9"/>
      <c r="D239" s="20"/>
      <c r="E239" s="20"/>
      <c r="F239" s="20"/>
      <c r="G239" s="20"/>
      <c r="H239" s="20"/>
      <c r="I239" s="24"/>
      <c r="J239" s="24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9"/>
      <c r="D240" s="20"/>
      <c r="E240" s="20"/>
      <c r="F240" s="20"/>
      <c r="G240" s="20"/>
      <c r="H240" s="20"/>
      <c r="I240" s="24"/>
      <c r="J240" s="24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9"/>
      <c r="D241" s="20"/>
      <c r="E241" s="20"/>
      <c r="F241" s="20"/>
      <c r="G241" s="20"/>
      <c r="H241" s="20"/>
      <c r="I241" s="24"/>
      <c r="J241" s="24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9"/>
      <c r="D242" s="20"/>
      <c r="E242" s="20"/>
      <c r="F242" s="20"/>
      <c r="G242" s="20"/>
      <c r="H242" s="20"/>
      <c r="I242" s="24"/>
      <c r="J242" s="24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9"/>
      <c r="D243" s="20"/>
      <c r="E243" s="20"/>
      <c r="F243" s="20"/>
      <c r="G243" s="20"/>
      <c r="H243" s="20"/>
      <c r="I243" s="24"/>
      <c r="J243" s="24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9"/>
      <c r="D244" s="20"/>
      <c r="E244" s="20"/>
      <c r="F244" s="20"/>
      <c r="G244" s="20"/>
      <c r="H244" s="20"/>
      <c r="I244" s="24"/>
      <c r="J244" s="24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9"/>
      <c r="D245" s="20"/>
      <c r="E245" s="20"/>
      <c r="F245" s="20"/>
      <c r="G245" s="20"/>
      <c r="H245" s="20"/>
      <c r="I245" s="24"/>
      <c r="J245" s="24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9"/>
      <c r="D246" s="20"/>
      <c r="E246" s="20"/>
      <c r="F246" s="20"/>
      <c r="G246" s="20"/>
      <c r="H246" s="20"/>
      <c r="I246" s="24"/>
      <c r="J246" s="24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9"/>
      <c r="D247" s="20"/>
      <c r="E247" s="20"/>
      <c r="F247" s="20"/>
      <c r="G247" s="20"/>
      <c r="H247" s="20"/>
      <c r="I247" s="24"/>
      <c r="J247" s="24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9"/>
      <c r="D248" s="20"/>
      <c r="E248" s="20"/>
      <c r="F248" s="20"/>
      <c r="G248" s="20"/>
      <c r="H248" s="20"/>
      <c r="I248" s="24"/>
      <c r="J248" s="24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9"/>
      <c r="D249" s="20"/>
      <c r="E249" s="20"/>
      <c r="F249" s="20"/>
      <c r="G249" s="20"/>
      <c r="H249" s="20"/>
      <c r="I249" s="24"/>
      <c r="J249" s="24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9"/>
      <c r="D250" s="20"/>
      <c r="E250" s="20"/>
      <c r="F250" s="20"/>
      <c r="G250" s="20"/>
      <c r="H250" s="20"/>
      <c r="I250" s="24"/>
      <c r="J250" s="24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9"/>
      <c r="D251" s="20"/>
      <c r="E251" s="20"/>
      <c r="F251" s="20"/>
      <c r="G251" s="20"/>
      <c r="H251" s="20"/>
      <c r="I251" s="24"/>
      <c r="J251" s="24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9"/>
      <c r="D252" s="20"/>
      <c r="E252" s="20"/>
      <c r="F252" s="20"/>
      <c r="G252" s="20"/>
      <c r="H252" s="20"/>
      <c r="I252" s="24"/>
      <c r="J252" s="24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9"/>
      <c r="D253" s="20"/>
      <c r="E253" s="20"/>
      <c r="F253" s="20"/>
      <c r="G253" s="20"/>
      <c r="H253" s="20"/>
      <c r="I253" s="24"/>
      <c r="J253" s="24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9"/>
      <c r="D254" s="20"/>
      <c r="E254" s="20"/>
      <c r="F254" s="20"/>
      <c r="G254" s="20"/>
      <c r="H254" s="20"/>
      <c r="I254" s="24"/>
      <c r="J254" s="24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9"/>
      <c r="D255" s="20"/>
      <c r="E255" s="20"/>
      <c r="F255" s="20"/>
      <c r="G255" s="20"/>
      <c r="H255" s="20"/>
      <c r="I255" s="24"/>
      <c r="J255" s="24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9"/>
      <c r="D256" s="20"/>
      <c r="E256" s="20"/>
      <c r="F256" s="20"/>
      <c r="G256" s="20"/>
      <c r="H256" s="20"/>
      <c r="I256" s="24"/>
      <c r="J256" s="24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9"/>
      <c r="D257" s="20"/>
      <c r="E257" s="20"/>
      <c r="F257" s="20"/>
      <c r="G257" s="20"/>
      <c r="H257" s="20"/>
      <c r="I257" s="24"/>
      <c r="J257" s="24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9"/>
      <c r="D258" s="20"/>
      <c r="E258" s="20"/>
      <c r="F258" s="20"/>
      <c r="G258" s="20"/>
      <c r="H258" s="20"/>
      <c r="I258" s="24"/>
      <c r="J258" s="24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9"/>
      <c r="D259" s="20"/>
      <c r="E259" s="20"/>
      <c r="F259" s="20"/>
      <c r="G259" s="20"/>
      <c r="H259" s="20"/>
      <c r="I259" s="24"/>
      <c r="J259" s="24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9"/>
      <c r="D260" s="20"/>
      <c r="E260" s="20"/>
      <c r="F260" s="20"/>
      <c r="G260" s="20"/>
      <c r="H260" s="20"/>
      <c r="I260" s="24"/>
      <c r="J260" s="24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9"/>
      <c r="D261" s="20"/>
      <c r="E261" s="20"/>
      <c r="F261" s="20"/>
      <c r="G261" s="20"/>
      <c r="H261" s="20"/>
      <c r="I261" s="24"/>
      <c r="J261" s="24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9"/>
      <c r="D262" s="20"/>
      <c r="E262" s="20"/>
      <c r="F262" s="20"/>
      <c r="G262" s="20"/>
      <c r="H262" s="20"/>
      <c r="I262" s="24"/>
      <c r="J262" s="24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9"/>
      <c r="D263" s="20"/>
      <c r="E263" s="20"/>
      <c r="F263" s="20"/>
      <c r="G263" s="20"/>
      <c r="H263" s="20"/>
      <c r="I263" s="24"/>
      <c r="J263" s="24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9"/>
      <c r="D264" s="20"/>
      <c r="E264" s="20"/>
      <c r="F264" s="20"/>
      <c r="G264" s="20"/>
      <c r="H264" s="20"/>
      <c r="I264" s="24"/>
      <c r="J264" s="24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9"/>
      <c r="D265" s="20"/>
      <c r="E265" s="20"/>
      <c r="F265" s="20"/>
      <c r="G265" s="20"/>
      <c r="H265" s="20"/>
      <c r="I265" s="24"/>
      <c r="J265" s="24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9"/>
      <c r="D266" s="20"/>
      <c r="E266" s="20"/>
      <c r="F266" s="20"/>
      <c r="G266" s="20"/>
      <c r="H266" s="20"/>
      <c r="I266" s="24"/>
      <c r="J266" s="24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9"/>
      <c r="D267" s="20"/>
      <c r="E267" s="20"/>
      <c r="F267" s="20"/>
      <c r="G267" s="20"/>
      <c r="H267" s="20"/>
      <c r="I267" s="24"/>
      <c r="J267" s="24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9"/>
      <c r="D268" s="20"/>
      <c r="E268" s="20"/>
      <c r="F268" s="20"/>
      <c r="G268" s="20"/>
      <c r="H268" s="20"/>
      <c r="I268" s="24"/>
      <c r="J268" s="24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9"/>
      <c r="D269" s="20"/>
      <c r="E269" s="20"/>
      <c r="F269" s="20"/>
      <c r="G269" s="20"/>
      <c r="H269" s="20"/>
      <c r="I269" s="24"/>
      <c r="J269" s="24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9"/>
      <c r="D270" s="20"/>
      <c r="E270" s="20"/>
      <c r="F270" s="20"/>
      <c r="G270" s="20"/>
      <c r="H270" s="20"/>
      <c r="I270" s="24"/>
      <c r="J270" s="24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9"/>
      <c r="D271" s="20"/>
      <c r="E271" s="20"/>
      <c r="F271" s="20"/>
      <c r="G271" s="20"/>
      <c r="H271" s="20"/>
      <c r="I271" s="24"/>
      <c r="J271" s="24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9"/>
      <c r="D272" s="20"/>
      <c r="E272" s="20"/>
      <c r="F272" s="20"/>
      <c r="G272" s="20"/>
      <c r="H272" s="20"/>
      <c r="I272" s="24"/>
      <c r="J272" s="24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9"/>
      <c r="D273" s="20"/>
      <c r="E273" s="20"/>
      <c r="F273" s="20"/>
      <c r="G273" s="20"/>
      <c r="H273" s="20"/>
      <c r="I273" s="24"/>
      <c r="J273" s="24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9"/>
      <c r="D274" s="20"/>
      <c r="E274" s="20"/>
      <c r="F274" s="20"/>
      <c r="G274" s="20"/>
      <c r="H274" s="20"/>
      <c r="I274" s="24"/>
      <c r="J274" s="24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9"/>
      <c r="D275" s="20"/>
      <c r="E275" s="20"/>
      <c r="F275" s="20"/>
      <c r="G275" s="20"/>
      <c r="H275" s="20"/>
      <c r="I275" s="24"/>
      <c r="J275" s="24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9"/>
      <c r="D276" s="20"/>
      <c r="E276" s="20"/>
      <c r="F276" s="20"/>
      <c r="G276" s="20"/>
      <c r="H276" s="20"/>
      <c r="I276" s="24"/>
      <c r="J276" s="24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9"/>
      <c r="D277" s="20"/>
      <c r="E277" s="20"/>
      <c r="F277" s="20"/>
      <c r="G277" s="20"/>
      <c r="H277" s="20"/>
      <c r="I277" s="24"/>
      <c r="J277" s="24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9"/>
      <c r="D278" s="20"/>
      <c r="E278" s="20"/>
      <c r="F278" s="20"/>
      <c r="G278" s="20"/>
      <c r="H278" s="20"/>
      <c r="I278" s="24"/>
      <c r="J278" s="24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9"/>
      <c r="D279" s="20"/>
      <c r="E279" s="20"/>
      <c r="F279" s="20"/>
      <c r="G279" s="20"/>
      <c r="H279" s="20"/>
      <c r="I279" s="24"/>
      <c r="J279" s="24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9"/>
      <c r="D280" s="20"/>
      <c r="E280" s="20"/>
      <c r="F280" s="20"/>
      <c r="G280" s="20"/>
      <c r="H280" s="20"/>
      <c r="I280" s="24"/>
      <c r="J280" s="24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9"/>
      <c r="D281" s="20"/>
      <c r="E281" s="20"/>
      <c r="F281" s="20"/>
      <c r="G281" s="20"/>
      <c r="H281" s="20"/>
      <c r="I281" s="24"/>
      <c r="J281" s="24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9"/>
      <c r="D282" s="20"/>
      <c r="E282" s="20"/>
      <c r="F282" s="20"/>
      <c r="G282" s="20"/>
      <c r="H282" s="20"/>
      <c r="I282" s="24"/>
      <c r="J282" s="24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9"/>
      <c r="D283" s="20"/>
      <c r="E283" s="20"/>
      <c r="F283" s="20"/>
      <c r="G283" s="20"/>
      <c r="H283" s="20"/>
      <c r="I283" s="24"/>
      <c r="J283" s="24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9"/>
      <c r="D284" s="20"/>
      <c r="E284" s="20"/>
      <c r="F284" s="20"/>
      <c r="G284" s="20"/>
      <c r="H284" s="20"/>
      <c r="I284" s="24"/>
      <c r="J284" s="24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9"/>
      <c r="D285" s="20"/>
      <c r="E285" s="20"/>
      <c r="F285" s="20"/>
      <c r="G285" s="20"/>
      <c r="H285" s="20"/>
      <c r="I285" s="24"/>
      <c r="J285" s="24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9"/>
      <c r="D286" s="20"/>
      <c r="E286" s="20"/>
      <c r="F286" s="20"/>
      <c r="G286" s="20"/>
      <c r="H286" s="20"/>
      <c r="I286" s="24"/>
      <c r="J286" s="24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9"/>
      <c r="D287" s="20"/>
      <c r="E287" s="20"/>
      <c r="F287" s="20"/>
      <c r="G287" s="20"/>
      <c r="H287" s="20"/>
      <c r="I287" s="24"/>
      <c r="J287" s="24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9"/>
      <c r="D288" s="20"/>
      <c r="E288" s="20"/>
      <c r="F288" s="20"/>
      <c r="G288" s="20"/>
      <c r="H288" s="20"/>
      <c r="I288" s="24"/>
      <c r="J288" s="24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9"/>
      <c r="D289" s="20"/>
      <c r="E289" s="20"/>
      <c r="F289" s="20"/>
      <c r="G289" s="20"/>
      <c r="H289" s="20"/>
      <c r="I289" s="24"/>
      <c r="J289" s="24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9"/>
      <c r="D290" s="20"/>
      <c r="E290" s="20"/>
      <c r="F290" s="20"/>
      <c r="G290" s="20"/>
      <c r="H290" s="20"/>
      <c r="I290" s="24"/>
      <c r="J290" s="24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9"/>
      <c r="D291" s="20"/>
      <c r="E291" s="20"/>
      <c r="F291" s="20"/>
      <c r="G291" s="20"/>
      <c r="H291" s="20"/>
      <c r="I291" s="24"/>
      <c r="J291" s="24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9"/>
      <c r="D292" s="20"/>
      <c r="E292" s="20"/>
      <c r="F292" s="20"/>
      <c r="G292" s="20"/>
      <c r="H292" s="20"/>
      <c r="I292" s="24"/>
      <c r="J292" s="24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9"/>
      <c r="D293" s="20"/>
      <c r="E293" s="20"/>
      <c r="F293" s="20"/>
      <c r="G293" s="20"/>
      <c r="H293" s="20"/>
      <c r="I293" s="24"/>
      <c r="J293" s="24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9"/>
      <c r="D294" s="20"/>
      <c r="E294" s="20"/>
      <c r="F294" s="20"/>
      <c r="G294" s="20"/>
      <c r="H294" s="20"/>
      <c r="I294" s="24"/>
      <c r="J294" s="24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9"/>
      <c r="D295" s="20"/>
      <c r="E295" s="20"/>
      <c r="F295" s="20"/>
      <c r="G295" s="20"/>
      <c r="H295" s="20"/>
      <c r="I295" s="24"/>
      <c r="J295" s="24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9"/>
      <c r="D296" s="20"/>
      <c r="E296" s="20"/>
      <c r="F296" s="20"/>
      <c r="G296" s="20"/>
      <c r="H296" s="20"/>
      <c r="I296" s="24"/>
      <c r="J296" s="24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9"/>
      <c r="D297" s="20"/>
      <c r="E297" s="20"/>
      <c r="F297" s="20"/>
      <c r="G297" s="20"/>
      <c r="H297" s="20"/>
      <c r="I297" s="24"/>
      <c r="J297" s="24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9"/>
      <c r="D298" s="20"/>
      <c r="E298" s="20"/>
      <c r="F298" s="20"/>
      <c r="G298" s="20"/>
      <c r="H298" s="20"/>
      <c r="I298" s="24"/>
      <c r="J298" s="24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9"/>
      <c r="D299" s="20"/>
      <c r="E299" s="20"/>
      <c r="F299" s="20"/>
      <c r="G299" s="20"/>
      <c r="H299" s="20"/>
      <c r="I299" s="24"/>
      <c r="J299" s="24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9"/>
      <c r="D300" s="20"/>
      <c r="E300" s="20"/>
      <c r="F300" s="20"/>
      <c r="G300" s="20"/>
      <c r="H300" s="20"/>
      <c r="I300" s="24"/>
      <c r="J300" s="24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9"/>
      <c r="D301" s="20"/>
      <c r="E301" s="20"/>
      <c r="F301" s="20"/>
      <c r="G301" s="20"/>
      <c r="H301" s="20"/>
      <c r="I301" s="24"/>
      <c r="J301" s="24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9"/>
      <c r="D302" s="20"/>
      <c r="E302" s="20"/>
      <c r="F302" s="20"/>
      <c r="G302" s="20"/>
      <c r="H302" s="20"/>
      <c r="I302" s="24"/>
      <c r="J302" s="24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9"/>
      <c r="D303" s="20"/>
      <c r="E303" s="20"/>
      <c r="F303" s="20"/>
      <c r="G303" s="20"/>
      <c r="H303" s="20"/>
      <c r="I303" s="24"/>
      <c r="J303" s="24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9"/>
      <c r="D304" s="20"/>
      <c r="E304" s="20"/>
      <c r="F304" s="20"/>
      <c r="G304" s="20"/>
      <c r="H304" s="20"/>
      <c r="I304" s="24"/>
      <c r="J304" s="24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9"/>
      <c r="D305" s="20"/>
      <c r="E305" s="20"/>
      <c r="F305" s="20"/>
      <c r="G305" s="20"/>
      <c r="H305" s="20"/>
      <c r="I305" s="24"/>
      <c r="J305" s="24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9"/>
      <c r="D306" s="20"/>
      <c r="E306" s="20"/>
      <c r="F306" s="20"/>
      <c r="G306" s="20"/>
      <c r="H306" s="20"/>
      <c r="I306" s="24"/>
      <c r="J306" s="24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9"/>
      <c r="D307" s="20"/>
      <c r="E307" s="20"/>
      <c r="F307" s="20"/>
      <c r="G307" s="20"/>
      <c r="H307" s="20"/>
      <c r="I307" s="24"/>
      <c r="J307" s="24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9"/>
      <c r="D308" s="20"/>
      <c r="E308" s="20"/>
      <c r="F308" s="20"/>
      <c r="G308" s="20"/>
      <c r="H308" s="20"/>
      <c r="I308" s="24"/>
      <c r="J308" s="24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9"/>
      <c r="D309" s="20"/>
      <c r="E309" s="20"/>
      <c r="F309" s="20"/>
      <c r="G309" s="20"/>
      <c r="H309" s="20"/>
      <c r="I309" s="24"/>
      <c r="J309" s="24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9"/>
      <c r="D310" s="20"/>
      <c r="E310" s="20"/>
      <c r="F310" s="20"/>
      <c r="G310" s="20"/>
      <c r="H310" s="20"/>
      <c r="I310" s="24"/>
      <c r="J310" s="24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9"/>
      <c r="D311" s="20"/>
      <c r="E311" s="20"/>
      <c r="F311" s="20"/>
      <c r="G311" s="20"/>
      <c r="H311" s="20"/>
      <c r="I311" s="24"/>
      <c r="J311" s="24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9"/>
      <c r="D312" s="20"/>
      <c r="E312" s="20"/>
      <c r="F312" s="20"/>
      <c r="G312" s="20"/>
      <c r="H312" s="20"/>
      <c r="I312" s="24"/>
      <c r="J312" s="24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9"/>
      <c r="D313" s="20"/>
      <c r="E313" s="20"/>
      <c r="F313" s="20"/>
      <c r="G313" s="20"/>
      <c r="H313" s="20"/>
      <c r="I313" s="24"/>
      <c r="J313" s="24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9"/>
      <c r="D314" s="20"/>
      <c r="E314" s="20"/>
      <c r="F314" s="20"/>
      <c r="G314" s="20"/>
      <c r="H314" s="20"/>
      <c r="I314" s="24"/>
      <c r="J314" s="24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9"/>
      <c r="D315" s="20"/>
      <c r="E315" s="20"/>
      <c r="F315" s="20"/>
      <c r="G315" s="20"/>
      <c r="H315" s="20"/>
      <c r="I315" s="24"/>
      <c r="J315" s="24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9"/>
      <c r="D316" s="20"/>
      <c r="E316" s="20"/>
      <c r="F316" s="20"/>
      <c r="G316" s="20"/>
      <c r="H316" s="20"/>
      <c r="I316" s="24"/>
      <c r="J316" s="24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9"/>
      <c r="D317" s="20"/>
      <c r="E317" s="20"/>
      <c r="F317" s="20"/>
      <c r="G317" s="20"/>
      <c r="H317" s="20"/>
      <c r="I317" s="24"/>
      <c r="J317" s="24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9"/>
      <c r="D318" s="20"/>
      <c r="E318" s="20"/>
      <c r="F318" s="20"/>
      <c r="G318" s="20"/>
      <c r="H318" s="20"/>
      <c r="I318" s="24"/>
      <c r="J318" s="24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9"/>
      <c r="D319" s="20"/>
      <c r="E319" s="20"/>
      <c r="F319" s="20"/>
      <c r="G319" s="20"/>
      <c r="H319" s="20"/>
      <c r="I319" s="24"/>
      <c r="J319" s="24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9"/>
      <c r="D320" s="20"/>
      <c r="E320" s="20"/>
      <c r="F320" s="20"/>
      <c r="G320" s="20"/>
      <c r="H320" s="20"/>
      <c r="I320" s="24"/>
      <c r="J320" s="24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9"/>
      <c r="D321" s="20"/>
      <c r="E321" s="20"/>
      <c r="F321" s="20"/>
      <c r="G321" s="20"/>
      <c r="H321" s="20"/>
      <c r="I321" s="24"/>
      <c r="J321" s="24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9"/>
      <c r="D322" s="20"/>
      <c r="E322" s="20"/>
      <c r="F322" s="20"/>
      <c r="G322" s="20"/>
      <c r="H322" s="20"/>
      <c r="I322" s="24"/>
      <c r="J322" s="24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9"/>
      <c r="D323" s="20"/>
      <c r="E323" s="20"/>
      <c r="F323" s="20"/>
      <c r="G323" s="20"/>
      <c r="H323" s="20"/>
      <c r="I323" s="24"/>
      <c r="J323" s="24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9"/>
      <c r="D324" s="20"/>
      <c r="E324" s="20"/>
      <c r="F324" s="20"/>
      <c r="G324" s="20"/>
      <c r="H324" s="20"/>
      <c r="I324" s="24"/>
      <c r="J324" s="24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9"/>
      <c r="D325" s="20"/>
      <c r="E325" s="20"/>
      <c r="F325" s="20"/>
      <c r="G325" s="20"/>
      <c r="H325" s="20"/>
      <c r="I325" s="24"/>
      <c r="J325" s="24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9"/>
      <c r="D326" s="20"/>
      <c r="E326" s="20"/>
      <c r="F326" s="20"/>
      <c r="G326" s="20"/>
      <c r="H326" s="20"/>
      <c r="I326" s="24"/>
      <c r="J326" s="24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9"/>
      <c r="D327" s="20"/>
      <c r="E327" s="20"/>
      <c r="F327" s="20"/>
      <c r="G327" s="20"/>
      <c r="H327" s="20"/>
      <c r="I327" s="24"/>
      <c r="J327" s="24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9"/>
      <c r="D328" s="20"/>
      <c r="E328" s="20"/>
      <c r="F328" s="20"/>
      <c r="G328" s="20"/>
      <c r="H328" s="20"/>
      <c r="I328" s="24"/>
      <c r="J328" s="24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9"/>
      <c r="D329" s="20"/>
      <c r="E329" s="20"/>
      <c r="F329" s="20"/>
      <c r="G329" s="20"/>
      <c r="H329" s="20"/>
      <c r="I329" s="24"/>
      <c r="J329" s="24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9"/>
      <c r="D330" s="20"/>
      <c r="E330" s="20"/>
      <c r="F330" s="20"/>
      <c r="G330" s="20"/>
      <c r="H330" s="20"/>
      <c r="I330" s="24"/>
      <c r="J330" s="24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9"/>
      <c r="D331" s="20"/>
      <c r="E331" s="20"/>
      <c r="F331" s="20"/>
      <c r="G331" s="20"/>
      <c r="H331" s="20"/>
      <c r="I331" s="24"/>
      <c r="J331" s="24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9"/>
      <c r="D332" s="20"/>
      <c r="E332" s="20"/>
      <c r="F332" s="20"/>
      <c r="G332" s="20"/>
      <c r="H332" s="20"/>
      <c r="I332" s="24"/>
      <c r="J332" s="24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9"/>
      <c r="D333" s="20"/>
      <c r="E333" s="20"/>
      <c r="F333" s="20"/>
      <c r="G333" s="20"/>
      <c r="H333" s="20"/>
      <c r="I333" s="24"/>
      <c r="J333" s="24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9"/>
      <c r="D334" s="20"/>
      <c r="E334" s="20"/>
      <c r="F334" s="20"/>
      <c r="G334" s="20"/>
      <c r="H334" s="20"/>
      <c r="I334" s="24"/>
      <c r="J334" s="24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9"/>
      <c r="D335" s="20"/>
      <c r="E335" s="20"/>
      <c r="F335" s="20"/>
      <c r="G335" s="20"/>
      <c r="H335" s="20"/>
      <c r="I335" s="24"/>
      <c r="J335" s="24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9"/>
      <c r="D336" s="20"/>
      <c r="E336" s="20"/>
      <c r="F336" s="20"/>
      <c r="G336" s="20"/>
      <c r="H336" s="20"/>
      <c r="I336" s="24"/>
      <c r="J336" s="24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9"/>
      <c r="D337" s="20"/>
      <c r="E337" s="20"/>
      <c r="F337" s="20"/>
      <c r="G337" s="20"/>
      <c r="H337" s="20"/>
      <c r="I337" s="24"/>
      <c r="J337" s="24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9"/>
      <c r="D338" s="20"/>
      <c r="E338" s="20"/>
      <c r="F338" s="20"/>
      <c r="G338" s="20"/>
      <c r="H338" s="20"/>
      <c r="I338" s="24"/>
      <c r="J338" s="24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9"/>
      <c r="D339" s="20"/>
      <c r="E339" s="20"/>
      <c r="F339" s="20"/>
      <c r="G339" s="20"/>
      <c r="H339" s="20"/>
      <c r="I339" s="24"/>
      <c r="J339" s="24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9"/>
      <c r="D340" s="20"/>
      <c r="E340" s="20"/>
      <c r="F340" s="20"/>
      <c r="G340" s="20"/>
      <c r="H340" s="20"/>
      <c r="I340" s="24"/>
      <c r="J340" s="24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9"/>
      <c r="D341" s="20"/>
      <c r="E341" s="20"/>
      <c r="F341" s="20"/>
      <c r="G341" s="20"/>
      <c r="H341" s="20"/>
      <c r="I341" s="24"/>
      <c r="J341" s="24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9"/>
      <c r="D342" s="20"/>
      <c r="E342" s="20"/>
      <c r="F342" s="20"/>
      <c r="G342" s="20"/>
      <c r="H342" s="20"/>
      <c r="I342" s="24"/>
      <c r="J342" s="24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9"/>
      <c r="D343" s="20"/>
      <c r="E343" s="20"/>
      <c r="F343" s="20"/>
      <c r="G343" s="20"/>
      <c r="H343" s="20"/>
      <c r="I343" s="24"/>
      <c r="J343" s="24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9"/>
      <c r="D344" s="20"/>
      <c r="E344" s="20"/>
      <c r="F344" s="20"/>
      <c r="G344" s="20"/>
      <c r="H344" s="20"/>
      <c r="I344" s="24"/>
      <c r="J344" s="24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9"/>
      <c r="D345" s="20"/>
      <c r="E345" s="20"/>
      <c r="F345" s="20"/>
      <c r="G345" s="20"/>
      <c r="H345" s="20"/>
      <c r="I345" s="24"/>
      <c r="J345" s="24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9"/>
      <c r="D346" s="20"/>
      <c r="E346" s="20"/>
      <c r="F346" s="20"/>
      <c r="G346" s="20"/>
      <c r="H346" s="20"/>
      <c r="I346" s="24"/>
      <c r="J346" s="24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9"/>
      <c r="D347" s="20"/>
      <c r="E347" s="20"/>
      <c r="F347" s="20"/>
      <c r="G347" s="20"/>
      <c r="H347" s="20"/>
      <c r="I347" s="24"/>
      <c r="J347" s="24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9"/>
      <c r="D348" s="20"/>
      <c r="E348" s="20"/>
      <c r="F348" s="20"/>
      <c r="G348" s="20"/>
      <c r="H348" s="20"/>
      <c r="I348" s="24"/>
      <c r="J348" s="24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9"/>
      <c r="D349" s="20"/>
      <c r="E349" s="20"/>
      <c r="F349" s="20"/>
      <c r="G349" s="20"/>
      <c r="H349" s="20"/>
      <c r="I349" s="24"/>
      <c r="J349" s="24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9"/>
      <c r="D350" s="20"/>
      <c r="E350" s="20"/>
      <c r="F350" s="20"/>
      <c r="G350" s="20"/>
      <c r="H350" s="20"/>
      <c r="I350" s="24"/>
      <c r="J350" s="24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9"/>
      <c r="D351" s="20"/>
      <c r="E351" s="20"/>
      <c r="F351" s="20"/>
      <c r="G351" s="20"/>
      <c r="H351" s="20"/>
      <c r="I351" s="24"/>
      <c r="J351" s="24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9"/>
      <c r="D352" s="20"/>
      <c r="E352" s="20"/>
      <c r="F352" s="20"/>
      <c r="G352" s="20"/>
      <c r="H352" s="20"/>
      <c r="I352" s="24"/>
      <c r="J352" s="24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9"/>
      <c r="D353" s="20"/>
      <c r="E353" s="20"/>
      <c r="F353" s="20"/>
      <c r="G353" s="20"/>
      <c r="H353" s="20"/>
      <c r="I353" s="24"/>
      <c r="J353" s="24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9"/>
      <c r="D354" s="20"/>
      <c r="E354" s="20"/>
      <c r="F354" s="20"/>
      <c r="G354" s="20"/>
      <c r="H354" s="20"/>
      <c r="I354" s="24"/>
      <c r="J354" s="24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9"/>
      <c r="D355" s="20"/>
      <c r="E355" s="20"/>
      <c r="F355" s="20"/>
      <c r="G355" s="20"/>
      <c r="H355" s="20"/>
      <c r="I355" s="24"/>
      <c r="J355" s="24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9"/>
      <c r="D356" s="20"/>
      <c r="E356" s="20"/>
      <c r="F356" s="20"/>
      <c r="G356" s="20"/>
      <c r="H356" s="20"/>
      <c r="I356" s="24"/>
      <c r="J356" s="24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9"/>
      <c r="D357" s="20"/>
      <c r="E357" s="20"/>
      <c r="F357" s="20"/>
      <c r="G357" s="20"/>
      <c r="H357" s="20"/>
      <c r="I357" s="24"/>
      <c r="J357" s="24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9"/>
      <c r="D358" s="20"/>
      <c r="E358" s="20"/>
      <c r="F358" s="20"/>
      <c r="G358" s="20"/>
      <c r="H358" s="20"/>
      <c r="I358" s="24"/>
      <c r="J358" s="24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9"/>
      <c r="D359" s="20"/>
      <c r="E359" s="20"/>
      <c r="F359" s="20"/>
      <c r="G359" s="20"/>
      <c r="H359" s="20"/>
      <c r="I359" s="24"/>
      <c r="J359" s="24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9"/>
      <c r="D360" s="20"/>
      <c r="E360" s="20"/>
      <c r="F360" s="20"/>
      <c r="G360" s="20"/>
      <c r="H360" s="20"/>
      <c r="I360" s="24"/>
      <c r="J360" s="24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9"/>
      <c r="D361" s="20"/>
      <c r="E361" s="20"/>
      <c r="F361" s="20"/>
      <c r="G361" s="20"/>
      <c r="H361" s="20"/>
      <c r="I361" s="24"/>
      <c r="J361" s="24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9"/>
      <c r="D362" s="20"/>
      <c r="E362" s="20"/>
      <c r="F362" s="20"/>
      <c r="G362" s="20"/>
      <c r="H362" s="20"/>
      <c r="I362" s="24"/>
      <c r="J362" s="24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9"/>
      <c r="D363" s="20"/>
      <c r="E363" s="20"/>
      <c r="F363" s="20"/>
      <c r="G363" s="20"/>
      <c r="H363" s="20"/>
      <c r="I363" s="24"/>
      <c r="J363" s="24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9"/>
      <c r="D364" s="20"/>
      <c r="E364" s="20"/>
      <c r="F364" s="20"/>
      <c r="G364" s="20"/>
      <c r="H364" s="20"/>
      <c r="I364" s="24"/>
      <c r="J364" s="24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9"/>
      <c r="D365" s="20"/>
      <c r="E365" s="20"/>
      <c r="F365" s="20"/>
      <c r="G365" s="20"/>
      <c r="H365" s="20"/>
      <c r="I365" s="24"/>
      <c r="J365" s="24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9"/>
      <c r="D366" s="20"/>
      <c r="E366" s="20"/>
      <c r="F366" s="20"/>
      <c r="G366" s="20"/>
      <c r="H366" s="20"/>
      <c r="I366" s="24"/>
      <c r="J366" s="24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9"/>
      <c r="D367" s="20"/>
      <c r="E367" s="20"/>
      <c r="F367" s="20"/>
      <c r="G367" s="20"/>
      <c r="H367" s="20"/>
      <c r="I367" s="24"/>
      <c r="J367" s="24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9"/>
      <c r="D368" s="20"/>
      <c r="E368" s="20"/>
      <c r="F368" s="20"/>
      <c r="G368" s="20"/>
      <c r="H368" s="20"/>
      <c r="I368" s="24"/>
      <c r="J368" s="24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9"/>
      <c r="D369" s="20"/>
      <c r="E369" s="20"/>
      <c r="F369" s="20"/>
      <c r="G369" s="20"/>
      <c r="H369" s="20"/>
      <c r="I369" s="24"/>
      <c r="J369" s="24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9"/>
      <c r="D370" s="20"/>
      <c r="E370" s="20"/>
      <c r="F370" s="20"/>
      <c r="G370" s="20"/>
      <c r="H370" s="20"/>
      <c r="I370" s="24"/>
      <c r="J370" s="24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9"/>
      <c r="D371" s="20"/>
      <c r="E371" s="20"/>
      <c r="F371" s="20"/>
      <c r="G371" s="20"/>
      <c r="H371" s="20"/>
      <c r="I371" s="24"/>
      <c r="J371" s="24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9"/>
      <c r="D372" s="20"/>
      <c r="E372" s="20"/>
      <c r="F372" s="20"/>
      <c r="G372" s="20"/>
      <c r="H372" s="20"/>
      <c r="I372" s="24"/>
      <c r="J372" s="24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9"/>
      <c r="D373" s="20"/>
      <c r="E373" s="20"/>
      <c r="F373" s="20"/>
      <c r="G373" s="20"/>
      <c r="H373" s="20"/>
      <c r="I373" s="24"/>
      <c r="J373" s="24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9"/>
      <c r="D374" s="20"/>
      <c r="E374" s="20"/>
      <c r="F374" s="20"/>
      <c r="G374" s="20"/>
      <c r="H374" s="20"/>
      <c r="I374" s="24"/>
      <c r="J374" s="24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9"/>
      <c r="D375" s="20"/>
      <c r="E375" s="20"/>
      <c r="F375" s="20"/>
      <c r="G375" s="20"/>
      <c r="H375" s="20"/>
      <c r="I375" s="24"/>
      <c r="J375" s="24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9"/>
      <c r="D376" s="20"/>
      <c r="E376" s="20"/>
      <c r="F376" s="20"/>
      <c r="G376" s="20"/>
      <c r="H376" s="20"/>
      <c r="I376" s="24"/>
      <c r="J376" s="24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9"/>
      <c r="D377" s="20"/>
      <c r="E377" s="20"/>
      <c r="F377" s="20"/>
      <c r="G377" s="20"/>
      <c r="H377" s="20"/>
      <c r="I377" s="24"/>
      <c r="J377" s="24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9"/>
      <c r="D378" s="20"/>
      <c r="E378" s="20"/>
      <c r="F378" s="20"/>
      <c r="G378" s="20"/>
      <c r="H378" s="20"/>
      <c r="I378" s="24"/>
      <c r="J378" s="24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9"/>
      <c r="D379" s="20"/>
      <c r="E379" s="20"/>
      <c r="F379" s="20"/>
      <c r="G379" s="20"/>
      <c r="H379" s="20"/>
      <c r="I379" s="24"/>
      <c r="J379" s="24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9"/>
      <c r="D380" s="20"/>
      <c r="E380" s="20"/>
      <c r="F380" s="20"/>
      <c r="G380" s="20"/>
      <c r="H380" s="20"/>
      <c r="I380" s="24"/>
      <c r="J380" s="24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9"/>
      <c r="D381" s="20"/>
      <c r="E381" s="20"/>
      <c r="F381" s="20"/>
      <c r="G381" s="20"/>
      <c r="H381" s="20"/>
      <c r="I381" s="24"/>
      <c r="J381" s="24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9"/>
      <c r="D382" s="20"/>
      <c r="E382" s="20"/>
      <c r="F382" s="20"/>
      <c r="G382" s="20"/>
      <c r="H382" s="20"/>
      <c r="I382" s="24"/>
      <c r="J382" s="24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9"/>
      <c r="D383" s="20"/>
      <c r="E383" s="20"/>
      <c r="F383" s="20"/>
      <c r="G383" s="20"/>
      <c r="H383" s="20"/>
      <c r="I383" s="24"/>
      <c r="J383" s="24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9"/>
      <c r="D384" s="20"/>
      <c r="E384" s="20"/>
      <c r="F384" s="20"/>
      <c r="G384" s="20"/>
      <c r="H384" s="20"/>
      <c r="I384" s="24"/>
      <c r="J384" s="24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9"/>
      <c r="D385" s="20"/>
      <c r="E385" s="20"/>
      <c r="F385" s="20"/>
      <c r="G385" s="20"/>
      <c r="H385" s="20"/>
      <c r="I385" s="24"/>
      <c r="J385" s="24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9"/>
      <c r="D386" s="20"/>
      <c r="E386" s="20"/>
      <c r="F386" s="20"/>
      <c r="G386" s="20"/>
      <c r="H386" s="20"/>
      <c r="I386" s="24"/>
      <c r="J386" s="24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9"/>
      <c r="D387" s="20"/>
      <c r="E387" s="20"/>
      <c r="F387" s="20"/>
      <c r="G387" s="20"/>
      <c r="H387" s="20"/>
      <c r="I387" s="24"/>
      <c r="J387" s="24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9"/>
      <c r="D388" s="20"/>
      <c r="E388" s="20"/>
      <c r="F388" s="20"/>
      <c r="G388" s="20"/>
      <c r="H388" s="20"/>
      <c r="I388" s="24"/>
      <c r="J388" s="24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9"/>
      <c r="D389" s="20"/>
      <c r="E389" s="20"/>
      <c r="F389" s="20"/>
      <c r="G389" s="20"/>
      <c r="H389" s="20"/>
      <c r="I389" s="24"/>
      <c r="J389" s="24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9"/>
      <c r="D390" s="20"/>
      <c r="E390" s="20"/>
      <c r="F390" s="20"/>
      <c r="G390" s="20"/>
      <c r="H390" s="20"/>
      <c r="I390" s="24"/>
      <c r="J390" s="24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9"/>
      <c r="D391" s="20"/>
      <c r="E391" s="20"/>
      <c r="F391" s="20"/>
      <c r="G391" s="20"/>
      <c r="H391" s="20"/>
      <c r="I391" s="24"/>
      <c r="J391" s="24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9"/>
      <c r="D392" s="20"/>
      <c r="E392" s="20"/>
      <c r="F392" s="20"/>
      <c r="G392" s="20"/>
      <c r="H392" s="20"/>
      <c r="I392" s="24"/>
      <c r="J392" s="24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9"/>
      <c r="D393" s="20"/>
      <c r="E393" s="20"/>
      <c r="F393" s="20"/>
      <c r="G393" s="20"/>
      <c r="H393" s="20"/>
      <c r="I393" s="24"/>
      <c r="J393" s="24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9"/>
      <c r="D394" s="20"/>
      <c r="E394" s="20"/>
      <c r="F394" s="20"/>
      <c r="G394" s="20"/>
      <c r="H394" s="20"/>
      <c r="I394" s="24"/>
      <c r="J394" s="24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9"/>
      <c r="D395" s="20"/>
      <c r="E395" s="20"/>
      <c r="F395" s="20"/>
      <c r="G395" s="20"/>
      <c r="H395" s="20"/>
      <c r="I395" s="24"/>
      <c r="J395" s="24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9"/>
      <c r="D396" s="20"/>
      <c r="E396" s="20"/>
      <c r="F396" s="20"/>
      <c r="G396" s="20"/>
      <c r="H396" s="20"/>
      <c r="I396" s="24"/>
      <c r="J396" s="24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9"/>
      <c r="D397" s="20"/>
      <c r="E397" s="20"/>
      <c r="F397" s="20"/>
      <c r="G397" s="20"/>
      <c r="H397" s="20"/>
      <c r="I397" s="24"/>
      <c r="J397" s="24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9"/>
      <c r="D398" s="20"/>
      <c r="E398" s="20"/>
      <c r="F398" s="20"/>
      <c r="G398" s="20"/>
      <c r="H398" s="20"/>
      <c r="I398" s="24"/>
      <c r="J398" s="24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9"/>
      <c r="D399" s="20"/>
      <c r="E399" s="20"/>
      <c r="F399" s="20"/>
      <c r="G399" s="20"/>
      <c r="H399" s="20"/>
      <c r="I399" s="24"/>
      <c r="J399" s="24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9"/>
      <c r="D400" s="20"/>
      <c r="E400" s="20"/>
      <c r="F400" s="20"/>
      <c r="G400" s="20"/>
      <c r="H400" s="20"/>
      <c r="I400" s="24"/>
      <c r="J400" s="24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9"/>
      <c r="D401" s="20"/>
      <c r="E401" s="20"/>
      <c r="F401" s="20"/>
      <c r="G401" s="20"/>
      <c r="H401" s="20"/>
      <c r="I401" s="24"/>
      <c r="J401" s="24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9"/>
      <c r="D402" s="20"/>
      <c r="E402" s="20"/>
      <c r="F402" s="20"/>
      <c r="G402" s="20"/>
      <c r="H402" s="20"/>
      <c r="I402" s="24"/>
      <c r="J402" s="24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9"/>
      <c r="D403" s="20"/>
      <c r="E403" s="20"/>
      <c r="F403" s="20"/>
      <c r="G403" s="20"/>
      <c r="H403" s="20"/>
      <c r="I403" s="24"/>
      <c r="J403" s="24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9"/>
      <c r="D404" s="20"/>
      <c r="E404" s="20"/>
      <c r="F404" s="20"/>
      <c r="G404" s="20"/>
      <c r="H404" s="20"/>
      <c r="I404" s="24"/>
      <c r="J404" s="24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9"/>
      <c r="D405" s="20"/>
      <c r="E405" s="20"/>
      <c r="F405" s="20"/>
      <c r="G405" s="20"/>
      <c r="H405" s="20"/>
      <c r="I405" s="24"/>
      <c r="J405" s="24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9"/>
      <c r="D406" s="20"/>
      <c r="E406" s="20"/>
      <c r="F406" s="20"/>
      <c r="G406" s="20"/>
      <c r="H406" s="20"/>
      <c r="I406" s="24"/>
      <c r="J406" s="24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9"/>
      <c r="D407" s="20"/>
      <c r="E407" s="20"/>
      <c r="F407" s="20"/>
      <c r="G407" s="20"/>
      <c r="H407" s="20"/>
      <c r="I407" s="24"/>
      <c r="J407" s="24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9"/>
      <c r="D408" s="20"/>
      <c r="E408" s="20"/>
      <c r="F408" s="20"/>
      <c r="G408" s="20"/>
      <c r="H408" s="20"/>
      <c r="I408" s="24"/>
      <c r="J408" s="24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9"/>
      <c r="D409" s="20"/>
      <c r="E409" s="20"/>
      <c r="F409" s="20"/>
      <c r="G409" s="20"/>
      <c r="H409" s="20"/>
      <c r="I409" s="24"/>
      <c r="J409" s="24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9"/>
      <c r="D410" s="20"/>
      <c r="E410" s="20"/>
      <c r="F410" s="20"/>
      <c r="G410" s="20"/>
      <c r="H410" s="20"/>
      <c r="I410" s="24"/>
      <c r="J410" s="24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9"/>
      <c r="D411" s="20"/>
      <c r="E411" s="20"/>
      <c r="F411" s="20"/>
      <c r="G411" s="20"/>
      <c r="H411" s="20"/>
      <c r="I411" s="24"/>
      <c r="J411" s="24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9"/>
      <c r="D412" s="20"/>
      <c r="E412" s="20"/>
      <c r="F412" s="20"/>
      <c r="G412" s="20"/>
      <c r="H412" s="20"/>
      <c r="I412" s="24"/>
      <c r="J412" s="24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9"/>
      <c r="D413" s="20"/>
      <c r="E413" s="20"/>
      <c r="F413" s="20"/>
      <c r="G413" s="20"/>
      <c r="H413" s="20"/>
      <c r="I413" s="24"/>
      <c r="J413" s="24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9"/>
      <c r="D414" s="20"/>
      <c r="E414" s="20"/>
      <c r="F414" s="20"/>
      <c r="G414" s="20"/>
      <c r="H414" s="20"/>
      <c r="I414" s="24"/>
      <c r="J414" s="24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9"/>
      <c r="D415" s="20"/>
      <c r="E415" s="20"/>
      <c r="F415" s="20"/>
      <c r="G415" s="20"/>
      <c r="H415" s="20"/>
      <c r="I415" s="24"/>
      <c r="J415" s="24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9"/>
      <c r="D416" s="20"/>
      <c r="E416" s="20"/>
      <c r="F416" s="20"/>
      <c r="G416" s="20"/>
      <c r="H416" s="20"/>
      <c r="I416" s="24"/>
      <c r="J416" s="24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9"/>
      <c r="D417" s="20"/>
      <c r="E417" s="20"/>
      <c r="F417" s="20"/>
      <c r="G417" s="20"/>
      <c r="H417" s="20"/>
      <c r="I417" s="24"/>
      <c r="J417" s="24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9"/>
      <c r="D418" s="20"/>
      <c r="E418" s="20"/>
      <c r="F418" s="20"/>
      <c r="G418" s="20"/>
      <c r="H418" s="20"/>
      <c r="I418" s="24"/>
      <c r="J418" s="24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9"/>
      <c r="D419" s="20"/>
      <c r="E419" s="20"/>
      <c r="F419" s="20"/>
      <c r="G419" s="20"/>
      <c r="H419" s="20"/>
      <c r="I419" s="24"/>
      <c r="J419" s="24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9"/>
      <c r="D420" s="20"/>
      <c r="E420" s="20"/>
      <c r="F420" s="20"/>
      <c r="G420" s="20"/>
      <c r="H420" s="20"/>
      <c r="I420" s="24"/>
      <c r="J420" s="24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9"/>
      <c r="D421" s="20"/>
      <c r="E421" s="20"/>
      <c r="F421" s="20"/>
      <c r="G421" s="20"/>
      <c r="H421" s="20"/>
      <c r="I421" s="24"/>
      <c r="J421" s="24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9"/>
      <c r="D422" s="20"/>
      <c r="E422" s="20"/>
      <c r="F422" s="20"/>
      <c r="G422" s="20"/>
      <c r="H422" s="20"/>
      <c r="I422" s="24"/>
      <c r="J422" s="24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9"/>
      <c r="D423" s="20"/>
      <c r="E423" s="20"/>
      <c r="F423" s="20"/>
      <c r="G423" s="20"/>
      <c r="H423" s="20"/>
      <c r="I423" s="24"/>
      <c r="J423" s="24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9"/>
      <c r="D424" s="20"/>
      <c r="E424" s="20"/>
      <c r="F424" s="20"/>
      <c r="G424" s="20"/>
      <c r="H424" s="20"/>
      <c r="I424" s="24"/>
      <c r="J424" s="24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9"/>
      <c r="D425" s="20"/>
      <c r="E425" s="20"/>
      <c r="F425" s="20"/>
      <c r="G425" s="20"/>
      <c r="H425" s="20"/>
      <c r="I425" s="24"/>
      <c r="J425" s="24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9"/>
      <c r="D426" s="20"/>
      <c r="E426" s="20"/>
      <c r="F426" s="20"/>
      <c r="G426" s="20"/>
      <c r="H426" s="20"/>
      <c r="I426" s="24"/>
      <c r="J426" s="24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9"/>
      <c r="D427" s="20"/>
      <c r="E427" s="20"/>
      <c r="F427" s="20"/>
      <c r="G427" s="20"/>
      <c r="H427" s="20"/>
      <c r="I427" s="24"/>
      <c r="J427" s="24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9"/>
      <c r="D428" s="20"/>
      <c r="E428" s="20"/>
      <c r="F428" s="20"/>
      <c r="G428" s="20"/>
      <c r="H428" s="20"/>
      <c r="I428" s="24"/>
      <c r="J428" s="24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9"/>
      <c r="D429" s="20"/>
      <c r="E429" s="20"/>
      <c r="F429" s="20"/>
      <c r="G429" s="20"/>
      <c r="H429" s="20"/>
      <c r="I429" s="24"/>
      <c r="J429" s="24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9"/>
      <c r="D430" s="20"/>
      <c r="E430" s="20"/>
      <c r="F430" s="20"/>
      <c r="G430" s="20"/>
      <c r="H430" s="20"/>
      <c r="I430" s="24"/>
      <c r="J430" s="24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9"/>
      <c r="D431" s="20"/>
      <c r="E431" s="20"/>
      <c r="F431" s="20"/>
      <c r="G431" s="20"/>
      <c r="H431" s="20"/>
      <c r="I431" s="24"/>
      <c r="J431" s="24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9"/>
      <c r="D432" s="20"/>
      <c r="E432" s="20"/>
      <c r="F432" s="20"/>
      <c r="G432" s="20"/>
      <c r="H432" s="20"/>
      <c r="I432" s="24"/>
      <c r="J432" s="24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9"/>
      <c r="D433" s="20"/>
      <c r="E433" s="20"/>
      <c r="F433" s="20"/>
      <c r="G433" s="20"/>
      <c r="H433" s="20"/>
      <c r="I433" s="24"/>
      <c r="J433" s="24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9"/>
      <c r="D434" s="20"/>
      <c r="E434" s="20"/>
      <c r="F434" s="20"/>
      <c r="G434" s="20"/>
      <c r="H434" s="20"/>
      <c r="I434" s="24"/>
      <c r="J434" s="24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9"/>
      <c r="D435" s="20"/>
      <c r="E435" s="20"/>
      <c r="F435" s="20"/>
      <c r="G435" s="20"/>
      <c r="H435" s="20"/>
      <c r="I435" s="24"/>
      <c r="J435" s="24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9"/>
      <c r="D436" s="20"/>
      <c r="E436" s="20"/>
      <c r="F436" s="20"/>
      <c r="G436" s="20"/>
      <c r="H436" s="20"/>
      <c r="I436" s="24"/>
      <c r="J436" s="24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9"/>
      <c r="D437" s="20"/>
      <c r="E437" s="20"/>
      <c r="F437" s="20"/>
      <c r="G437" s="20"/>
      <c r="H437" s="20"/>
      <c r="I437" s="24"/>
      <c r="J437" s="24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9"/>
      <c r="D438" s="20"/>
      <c r="E438" s="20"/>
      <c r="F438" s="20"/>
      <c r="G438" s="20"/>
      <c r="H438" s="20"/>
      <c r="I438" s="24"/>
      <c r="J438" s="24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9"/>
      <c r="D439" s="20"/>
      <c r="E439" s="20"/>
      <c r="F439" s="20"/>
      <c r="G439" s="20"/>
      <c r="H439" s="20"/>
      <c r="I439" s="24"/>
      <c r="J439" s="24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9"/>
      <c r="D440" s="20"/>
      <c r="E440" s="20"/>
      <c r="F440" s="20"/>
      <c r="G440" s="20"/>
      <c r="H440" s="20"/>
      <c r="I440" s="24"/>
      <c r="J440" s="24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9"/>
      <c r="D441" s="20"/>
      <c r="E441" s="20"/>
      <c r="F441" s="20"/>
      <c r="G441" s="20"/>
      <c r="H441" s="20"/>
      <c r="I441" s="24"/>
      <c r="J441" s="24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9"/>
      <c r="D442" s="20"/>
      <c r="E442" s="20"/>
      <c r="F442" s="20"/>
      <c r="G442" s="20"/>
      <c r="H442" s="20"/>
      <c r="I442" s="24"/>
      <c r="J442" s="24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9"/>
      <c r="D443" s="20"/>
      <c r="E443" s="20"/>
      <c r="F443" s="20"/>
      <c r="G443" s="20"/>
      <c r="H443" s="20"/>
      <c r="I443" s="24"/>
      <c r="J443" s="24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9"/>
      <c r="D444" s="20"/>
      <c r="E444" s="20"/>
      <c r="F444" s="20"/>
      <c r="G444" s="20"/>
      <c r="H444" s="20"/>
      <c r="I444" s="24"/>
      <c r="J444" s="24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9"/>
      <c r="D445" s="20"/>
      <c r="E445" s="20"/>
      <c r="F445" s="20"/>
      <c r="G445" s="20"/>
      <c r="H445" s="20"/>
      <c r="I445" s="24"/>
      <c r="J445" s="24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9"/>
      <c r="D446" s="20"/>
      <c r="E446" s="20"/>
      <c r="F446" s="20"/>
      <c r="G446" s="20"/>
      <c r="H446" s="20"/>
      <c r="I446" s="24"/>
      <c r="J446" s="24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9"/>
      <c r="D447" s="20"/>
      <c r="E447" s="20"/>
      <c r="F447" s="20"/>
      <c r="G447" s="20"/>
      <c r="H447" s="20"/>
      <c r="I447" s="24"/>
      <c r="J447" s="24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9"/>
      <c r="D448" s="20"/>
      <c r="E448" s="20"/>
      <c r="F448" s="20"/>
      <c r="G448" s="20"/>
      <c r="H448" s="20"/>
      <c r="I448" s="24"/>
      <c r="J448" s="24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9"/>
      <c r="D449" s="20"/>
      <c r="E449" s="20"/>
      <c r="F449" s="20"/>
      <c r="G449" s="20"/>
      <c r="H449" s="20"/>
      <c r="I449" s="24"/>
      <c r="J449" s="24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9"/>
      <c r="D450" s="20"/>
      <c r="E450" s="20"/>
      <c r="F450" s="20"/>
      <c r="G450" s="20"/>
      <c r="H450" s="20"/>
      <c r="I450" s="24"/>
      <c r="J450" s="24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9"/>
      <c r="D451" s="20"/>
      <c r="E451" s="20"/>
      <c r="F451" s="20"/>
      <c r="G451" s="20"/>
      <c r="H451" s="20"/>
      <c r="I451" s="24"/>
      <c r="J451" s="24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9"/>
      <c r="D452" s="20"/>
      <c r="E452" s="20"/>
      <c r="F452" s="20"/>
      <c r="G452" s="20"/>
      <c r="H452" s="20"/>
      <c r="I452" s="24"/>
      <c r="J452" s="24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9"/>
      <c r="D453" s="20"/>
      <c r="E453" s="20"/>
      <c r="F453" s="20"/>
      <c r="G453" s="20"/>
      <c r="H453" s="20"/>
      <c r="I453" s="24"/>
      <c r="J453" s="24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9"/>
      <c r="D454" s="20"/>
      <c r="E454" s="20"/>
      <c r="F454" s="20"/>
      <c r="G454" s="20"/>
      <c r="H454" s="20"/>
      <c r="I454" s="24"/>
      <c r="J454" s="24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9"/>
      <c r="D455" s="20"/>
      <c r="E455" s="20"/>
      <c r="F455" s="20"/>
      <c r="G455" s="20"/>
      <c r="H455" s="20"/>
      <c r="I455" s="24"/>
      <c r="J455" s="24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9"/>
      <c r="D456" s="20"/>
      <c r="E456" s="20"/>
      <c r="F456" s="20"/>
      <c r="G456" s="20"/>
      <c r="H456" s="20"/>
      <c r="I456" s="24"/>
      <c r="J456" s="24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9"/>
      <c r="D457" s="20"/>
      <c r="E457" s="20"/>
      <c r="F457" s="20"/>
      <c r="G457" s="20"/>
      <c r="H457" s="20"/>
      <c r="I457" s="24"/>
      <c r="J457" s="24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9"/>
      <c r="D458" s="20"/>
      <c r="E458" s="20"/>
      <c r="F458" s="20"/>
      <c r="G458" s="20"/>
      <c r="H458" s="20"/>
      <c r="I458" s="24"/>
      <c r="J458" s="24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9"/>
      <c r="D459" s="20"/>
      <c r="E459" s="20"/>
      <c r="F459" s="20"/>
      <c r="G459" s="20"/>
      <c r="H459" s="20"/>
      <c r="I459" s="24"/>
      <c r="J459" s="24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9"/>
      <c r="D460" s="20"/>
      <c r="E460" s="20"/>
      <c r="F460" s="20"/>
      <c r="G460" s="20"/>
      <c r="H460" s="20"/>
      <c r="I460" s="24"/>
      <c r="J460" s="24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9"/>
      <c r="D461" s="20"/>
      <c r="E461" s="20"/>
      <c r="F461" s="20"/>
      <c r="G461" s="20"/>
      <c r="H461" s="20"/>
      <c r="I461" s="24"/>
      <c r="J461" s="24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9"/>
      <c r="D462" s="20"/>
      <c r="E462" s="20"/>
      <c r="F462" s="20"/>
      <c r="G462" s="20"/>
      <c r="H462" s="20"/>
      <c r="I462" s="24"/>
      <c r="J462" s="24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9"/>
      <c r="D463" s="20"/>
      <c r="E463" s="20"/>
      <c r="F463" s="20"/>
      <c r="G463" s="20"/>
      <c r="H463" s="20"/>
      <c r="I463" s="24"/>
      <c r="J463" s="24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9"/>
      <c r="D464" s="20"/>
      <c r="E464" s="20"/>
      <c r="F464" s="20"/>
      <c r="G464" s="20"/>
      <c r="H464" s="20"/>
      <c r="I464" s="24"/>
      <c r="J464" s="24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9"/>
      <c r="D465" s="20"/>
      <c r="E465" s="20"/>
      <c r="F465" s="20"/>
      <c r="G465" s="20"/>
      <c r="H465" s="20"/>
      <c r="I465" s="24"/>
      <c r="J465" s="24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9"/>
      <c r="D466" s="20"/>
      <c r="E466" s="20"/>
      <c r="F466" s="20"/>
      <c r="G466" s="20"/>
      <c r="H466" s="20"/>
      <c r="I466" s="24"/>
      <c r="J466" s="24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9"/>
      <c r="D467" s="20"/>
      <c r="E467" s="20"/>
      <c r="F467" s="20"/>
      <c r="G467" s="20"/>
      <c r="H467" s="20"/>
      <c r="I467" s="24"/>
      <c r="J467" s="24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9"/>
      <c r="D468" s="20"/>
      <c r="E468" s="20"/>
      <c r="F468" s="20"/>
      <c r="G468" s="20"/>
      <c r="H468" s="20"/>
      <c r="I468" s="24"/>
      <c r="J468" s="24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9"/>
      <c r="D469" s="20"/>
      <c r="E469" s="20"/>
      <c r="F469" s="20"/>
      <c r="G469" s="20"/>
      <c r="H469" s="20"/>
      <c r="I469" s="24"/>
      <c r="J469" s="24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9"/>
      <c r="D470" s="20"/>
      <c r="E470" s="20"/>
      <c r="F470" s="20"/>
      <c r="G470" s="20"/>
      <c r="H470" s="20"/>
      <c r="I470" s="24"/>
      <c r="J470" s="24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9"/>
      <c r="D471" s="20"/>
      <c r="E471" s="20"/>
      <c r="F471" s="20"/>
      <c r="G471" s="20"/>
      <c r="H471" s="20"/>
      <c r="I471" s="24"/>
      <c r="J471" s="24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9"/>
      <c r="D472" s="20"/>
      <c r="E472" s="20"/>
      <c r="F472" s="20"/>
      <c r="G472" s="20"/>
      <c r="H472" s="20"/>
      <c r="I472" s="24"/>
      <c r="J472" s="24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9"/>
      <c r="D473" s="20"/>
      <c r="E473" s="20"/>
      <c r="F473" s="20"/>
      <c r="G473" s="20"/>
      <c r="H473" s="20"/>
      <c r="I473" s="24"/>
      <c r="J473" s="24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9"/>
      <c r="D474" s="20"/>
      <c r="E474" s="20"/>
      <c r="F474" s="20"/>
      <c r="G474" s="20"/>
      <c r="H474" s="20"/>
      <c r="I474" s="24"/>
      <c r="J474" s="24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9"/>
      <c r="D475" s="20"/>
      <c r="E475" s="20"/>
      <c r="F475" s="20"/>
      <c r="G475" s="20"/>
      <c r="H475" s="20"/>
      <c r="I475" s="24"/>
      <c r="J475" s="24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9"/>
      <c r="D476" s="20"/>
      <c r="E476" s="20"/>
      <c r="F476" s="20"/>
      <c r="G476" s="20"/>
      <c r="H476" s="20"/>
      <c r="I476" s="24"/>
      <c r="J476" s="24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9"/>
      <c r="D477" s="20"/>
      <c r="E477" s="20"/>
      <c r="F477" s="20"/>
      <c r="G477" s="20"/>
      <c r="H477" s="20"/>
      <c r="I477" s="24"/>
      <c r="J477" s="24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9"/>
      <c r="D478" s="20"/>
      <c r="E478" s="20"/>
      <c r="F478" s="20"/>
      <c r="G478" s="20"/>
      <c r="H478" s="20"/>
      <c r="I478" s="24"/>
      <c r="J478" s="24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9"/>
      <c r="D479" s="20"/>
      <c r="E479" s="20"/>
      <c r="F479" s="20"/>
      <c r="G479" s="20"/>
      <c r="H479" s="20"/>
      <c r="I479" s="24"/>
      <c r="J479" s="24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9"/>
      <c r="D480" s="20"/>
      <c r="E480" s="20"/>
      <c r="F480" s="20"/>
      <c r="G480" s="20"/>
      <c r="H480" s="20"/>
      <c r="I480" s="24"/>
      <c r="J480" s="24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9"/>
      <c r="D481" s="20"/>
      <c r="E481" s="20"/>
      <c r="F481" s="20"/>
      <c r="G481" s="20"/>
      <c r="H481" s="20"/>
      <c r="I481" s="24"/>
      <c r="J481" s="24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9"/>
      <c r="D482" s="20"/>
      <c r="E482" s="20"/>
      <c r="F482" s="20"/>
      <c r="G482" s="20"/>
      <c r="H482" s="20"/>
      <c r="I482" s="24"/>
      <c r="J482" s="24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9"/>
      <c r="D483" s="20"/>
      <c r="E483" s="20"/>
      <c r="F483" s="20"/>
      <c r="G483" s="20"/>
      <c r="H483" s="20"/>
      <c r="I483" s="24"/>
      <c r="J483" s="24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9"/>
      <c r="D484" s="20"/>
      <c r="E484" s="20"/>
      <c r="F484" s="20"/>
      <c r="G484" s="20"/>
      <c r="H484" s="20"/>
      <c r="I484" s="24"/>
      <c r="J484" s="24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9"/>
      <c r="D485" s="20"/>
      <c r="E485" s="20"/>
      <c r="F485" s="20"/>
      <c r="G485" s="20"/>
      <c r="H485" s="20"/>
      <c r="I485" s="24"/>
      <c r="J485" s="24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9"/>
      <c r="D486" s="20"/>
      <c r="E486" s="20"/>
      <c r="F486" s="20"/>
      <c r="G486" s="20"/>
      <c r="H486" s="20"/>
      <c r="I486" s="24"/>
      <c r="J486" s="24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9"/>
      <c r="D487" s="20"/>
      <c r="E487" s="20"/>
      <c r="F487" s="20"/>
      <c r="G487" s="20"/>
      <c r="H487" s="20"/>
      <c r="I487" s="24"/>
      <c r="J487" s="24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9"/>
      <c r="D488" s="20"/>
      <c r="E488" s="20"/>
      <c r="F488" s="20"/>
      <c r="G488" s="20"/>
      <c r="H488" s="20"/>
      <c r="I488" s="24"/>
      <c r="J488" s="24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9"/>
      <c r="D489" s="20"/>
      <c r="E489" s="20"/>
      <c r="F489" s="20"/>
      <c r="G489" s="20"/>
      <c r="H489" s="20"/>
      <c r="I489" s="24"/>
      <c r="J489" s="24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9"/>
      <c r="D490" s="20"/>
      <c r="E490" s="20"/>
      <c r="F490" s="20"/>
      <c r="G490" s="20"/>
      <c r="H490" s="20"/>
      <c r="I490" s="24"/>
      <c r="J490" s="24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9"/>
      <c r="D491" s="20"/>
      <c r="E491" s="20"/>
      <c r="F491" s="20"/>
      <c r="G491" s="20"/>
      <c r="H491" s="20"/>
      <c r="I491" s="24"/>
      <c r="J491" s="24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9"/>
      <c r="D492" s="20"/>
      <c r="E492" s="20"/>
      <c r="F492" s="20"/>
      <c r="G492" s="20"/>
      <c r="H492" s="20"/>
      <c r="I492" s="24"/>
      <c r="J492" s="24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9"/>
      <c r="D493" s="20"/>
      <c r="E493" s="20"/>
      <c r="F493" s="20"/>
      <c r="G493" s="20"/>
      <c r="H493" s="20"/>
      <c r="I493" s="24"/>
      <c r="J493" s="24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9"/>
      <c r="D494" s="20"/>
      <c r="E494" s="20"/>
      <c r="F494" s="20"/>
      <c r="G494" s="20"/>
      <c r="H494" s="20"/>
      <c r="I494" s="24"/>
      <c r="J494" s="24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9"/>
      <c r="D495" s="20"/>
      <c r="E495" s="20"/>
      <c r="F495" s="20"/>
      <c r="G495" s="20"/>
      <c r="H495" s="20"/>
      <c r="I495" s="24"/>
      <c r="J495" s="24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9"/>
      <c r="D496" s="20"/>
      <c r="E496" s="20"/>
      <c r="F496" s="20"/>
      <c r="G496" s="20"/>
      <c r="H496" s="20"/>
      <c r="I496" s="24"/>
      <c r="J496" s="24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9"/>
      <c r="D497" s="20"/>
      <c r="E497" s="20"/>
      <c r="F497" s="20"/>
      <c r="G497" s="20"/>
      <c r="H497" s="20"/>
      <c r="I497" s="24"/>
      <c r="J497" s="24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9"/>
      <c r="D498" s="20"/>
      <c r="E498" s="20"/>
      <c r="F498" s="20"/>
      <c r="G498" s="20"/>
      <c r="H498" s="20"/>
      <c r="I498" s="24"/>
      <c r="J498" s="24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9"/>
      <c r="D499" s="20"/>
      <c r="E499" s="20"/>
      <c r="F499" s="20"/>
      <c r="G499" s="20"/>
      <c r="H499" s="20"/>
      <c r="I499" s="24"/>
      <c r="J499" s="24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9"/>
      <c r="D500" s="20"/>
      <c r="E500" s="20"/>
      <c r="F500" s="20"/>
      <c r="G500" s="20"/>
      <c r="H500" s="20"/>
      <c r="I500" s="24"/>
      <c r="J500" s="24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9"/>
      <c r="D501" s="20"/>
      <c r="E501" s="20"/>
      <c r="F501" s="20"/>
      <c r="G501" s="20"/>
      <c r="H501" s="20"/>
      <c r="I501" s="24"/>
      <c r="J501" s="24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9"/>
      <c r="D502" s="20"/>
      <c r="E502" s="20"/>
      <c r="F502" s="20"/>
      <c r="G502" s="20"/>
      <c r="H502" s="20"/>
      <c r="I502" s="24"/>
      <c r="J502" s="24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9"/>
      <c r="D503" s="20"/>
      <c r="E503" s="20"/>
      <c r="F503" s="20"/>
      <c r="G503" s="20"/>
      <c r="H503" s="20"/>
      <c r="I503" s="24"/>
      <c r="J503" s="24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9"/>
      <c r="D504" s="20"/>
      <c r="E504" s="20"/>
      <c r="F504" s="20"/>
      <c r="G504" s="20"/>
      <c r="H504" s="20"/>
      <c r="I504" s="24"/>
      <c r="J504" s="24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9"/>
      <c r="D505" s="20"/>
      <c r="E505" s="20"/>
      <c r="F505" s="20"/>
      <c r="G505" s="20"/>
      <c r="H505" s="20"/>
      <c r="I505" s="24"/>
      <c r="J505" s="24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9"/>
      <c r="D506" s="20"/>
      <c r="E506" s="20"/>
      <c r="F506" s="20"/>
      <c r="G506" s="20"/>
      <c r="H506" s="20"/>
      <c r="I506" s="24"/>
      <c r="J506" s="24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9"/>
      <c r="D507" s="20"/>
      <c r="E507" s="20"/>
      <c r="F507" s="20"/>
      <c r="G507" s="20"/>
      <c r="H507" s="20"/>
      <c r="I507" s="24"/>
      <c r="J507" s="24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9"/>
      <c r="D508" s="20"/>
      <c r="E508" s="20"/>
      <c r="F508" s="20"/>
      <c r="G508" s="20"/>
      <c r="H508" s="20"/>
      <c r="I508" s="24"/>
      <c r="J508" s="24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9"/>
      <c r="D509" s="20"/>
      <c r="E509" s="20"/>
      <c r="F509" s="20"/>
      <c r="G509" s="20"/>
      <c r="H509" s="20"/>
      <c r="I509" s="24"/>
      <c r="J509" s="24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9"/>
      <c r="D510" s="20"/>
      <c r="E510" s="20"/>
      <c r="F510" s="20"/>
      <c r="G510" s="20"/>
      <c r="H510" s="20"/>
      <c r="I510" s="24"/>
      <c r="J510" s="24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9"/>
      <c r="D511" s="20"/>
      <c r="E511" s="20"/>
      <c r="F511" s="20"/>
      <c r="G511" s="20"/>
      <c r="H511" s="20"/>
      <c r="I511" s="24"/>
      <c r="J511" s="24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9"/>
      <c r="D512" s="20"/>
      <c r="E512" s="20"/>
      <c r="F512" s="20"/>
      <c r="G512" s="20"/>
      <c r="H512" s="20"/>
      <c r="I512" s="24"/>
      <c r="J512" s="24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9"/>
      <c r="D513" s="20"/>
      <c r="E513" s="20"/>
      <c r="F513" s="20"/>
      <c r="G513" s="20"/>
      <c r="H513" s="20"/>
      <c r="I513" s="24"/>
      <c r="J513" s="24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9"/>
      <c r="D514" s="20"/>
      <c r="E514" s="20"/>
      <c r="F514" s="20"/>
      <c r="G514" s="20"/>
      <c r="H514" s="20"/>
      <c r="I514" s="24"/>
      <c r="J514" s="24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9"/>
      <c r="D515" s="20"/>
      <c r="E515" s="20"/>
      <c r="F515" s="20"/>
      <c r="G515" s="20"/>
      <c r="H515" s="20"/>
      <c r="I515" s="24"/>
      <c r="J515" s="24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9"/>
      <c r="D516" s="20"/>
      <c r="E516" s="20"/>
      <c r="F516" s="20"/>
      <c r="G516" s="20"/>
      <c r="H516" s="20"/>
      <c r="I516" s="24"/>
      <c r="J516" s="24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9"/>
      <c r="D517" s="20"/>
      <c r="E517" s="20"/>
      <c r="F517" s="20"/>
      <c r="G517" s="20"/>
      <c r="H517" s="20"/>
      <c r="I517" s="24"/>
      <c r="J517" s="24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9"/>
      <c r="D518" s="20"/>
      <c r="E518" s="20"/>
      <c r="F518" s="20"/>
      <c r="G518" s="20"/>
      <c r="H518" s="20"/>
      <c r="I518" s="24"/>
      <c r="J518" s="24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9"/>
      <c r="D519" s="20"/>
      <c r="E519" s="20"/>
      <c r="F519" s="20"/>
      <c r="G519" s="20"/>
      <c r="H519" s="20"/>
      <c r="I519" s="24"/>
      <c r="J519" s="24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9"/>
      <c r="D520" s="20"/>
      <c r="E520" s="20"/>
      <c r="F520" s="20"/>
      <c r="G520" s="20"/>
      <c r="H520" s="20"/>
      <c r="I520" s="24"/>
      <c r="J520" s="24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9"/>
      <c r="D521" s="20"/>
      <c r="E521" s="20"/>
      <c r="F521" s="20"/>
      <c r="G521" s="20"/>
      <c r="H521" s="20"/>
      <c r="I521" s="24"/>
      <c r="J521" s="24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9"/>
      <c r="D522" s="20"/>
      <c r="E522" s="20"/>
      <c r="F522" s="20"/>
      <c r="G522" s="20"/>
      <c r="H522" s="20"/>
      <c r="I522" s="24"/>
      <c r="J522" s="24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9"/>
      <c r="D523" s="20"/>
      <c r="E523" s="20"/>
      <c r="F523" s="20"/>
      <c r="G523" s="20"/>
      <c r="H523" s="20"/>
      <c r="I523" s="24"/>
      <c r="J523" s="24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9"/>
      <c r="D524" s="20"/>
      <c r="E524" s="20"/>
      <c r="F524" s="20"/>
      <c r="G524" s="20"/>
      <c r="H524" s="20"/>
      <c r="I524" s="24"/>
      <c r="J524" s="24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9"/>
      <c r="D525" s="20"/>
      <c r="E525" s="20"/>
      <c r="F525" s="20"/>
      <c r="G525" s="20"/>
      <c r="H525" s="20"/>
      <c r="I525" s="24"/>
      <c r="J525" s="24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9"/>
      <c r="D526" s="20"/>
      <c r="E526" s="20"/>
      <c r="F526" s="20"/>
      <c r="G526" s="20"/>
      <c r="H526" s="20"/>
      <c r="I526" s="24"/>
      <c r="J526" s="24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9"/>
      <c r="D527" s="20"/>
      <c r="E527" s="20"/>
      <c r="F527" s="20"/>
      <c r="G527" s="20"/>
      <c r="H527" s="20"/>
      <c r="I527" s="24"/>
      <c r="J527" s="24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9"/>
      <c r="D528" s="20"/>
      <c r="E528" s="20"/>
      <c r="F528" s="20"/>
      <c r="G528" s="20"/>
      <c r="H528" s="20"/>
      <c r="I528" s="24"/>
      <c r="J528" s="24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9"/>
      <c r="D529" s="20"/>
      <c r="E529" s="20"/>
      <c r="F529" s="20"/>
      <c r="G529" s="20"/>
      <c r="H529" s="20"/>
      <c r="I529" s="24"/>
      <c r="J529" s="24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9"/>
      <c r="D530" s="20"/>
      <c r="E530" s="20"/>
      <c r="F530" s="20"/>
      <c r="G530" s="20"/>
      <c r="H530" s="20"/>
      <c r="I530" s="24"/>
      <c r="J530" s="24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9"/>
      <c r="D531" s="20"/>
      <c r="E531" s="20"/>
      <c r="F531" s="20"/>
      <c r="G531" s="20"/>
      <c r="H531" s="20"/>
      <c r="I531" s="24"/>
      <c r="J531" s="24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9"/>
      <c r="D532" s="20"/>
      <c r="E532" s="20"/>
      <c r="F532" s="20"/>
      <c r="G532" s="20"/>
      <c r="H532" s="20"/>
      <c r="I532" s="24"/>
      <c r="J532" s="24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9"/>
      <c r="D533" s="20"/>
      <c r="E533" s="20"/>
      <c r="F533" s="20"/>
      <c r="G533" s="20"/>
      <c r="H533" s="20"/>
      <c r="I533" s="24"/>
      <c r="J533" s="24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9"/>
      <c r="D534" s="20"/>
      <c r="E534" s="20"/>
      <c r="F534" s="20"/>
      <c r="G534" s="20"/>
      <c r="H534" s="20"/>
      <c r="I534" s="24"/>
      <c r="J534" s="24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9"/>
      <c r="D535" s="20"/>
      <c r="E535" s="20"/>
      <c r="F535" s="20"/>
      <c r="G535" s="20"/>
      <c r="H535" s="20"/>
      <c r="I535" s="24"/>
      <c r="J535" s="24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9"/>
      <c r="D536" s="20"/>
      <c r="E536" s="20"/>
      <c r="F536" s="20"/>
      <c r="G536" s="20"/>
      <c r="H536" s="20"/>
      <c r="I536" s="24"/>
      <c r="J536" s="24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9"/>
      <c r="D537" s="20"/>
      <c r="E537" s="20"/>
      <c r="F537" s="20"/>
      <c r="G537" s="20"/>
      <c r="H537" s="20"/>
      <c r="I537" s="24"/>
      <c r="J537" s="24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9"/>
      <c r="D538" s="20"/>
      <c r="E538" s="20"/>
      <c r="F538" s="20"/>
      <c r="G538" s="20"/>
      <c r="H538" s="20"/>
      <c r="I538" s="24"/>
      <c r="J538" s="24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9"/>
      <c r="D539" s="20"/>
      <c r="E539" s="20"/>
      <c r="F539" s="20"/>
      <c r="G539" s="20"/>
      <c r="H539" s="20"/>
      <c r="I539" s="24"/>
      <c r="J539" s="24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9"/>
      <c r="D540" s="20"/>
      <c r="E540" s="20"/>
      <c r="F540" s="20"/>
      <c r="G540" s="20"/>
      <c r="H540" s="20"/>
      <c r="I540" s="24"/>
      <c r="J540" s="24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9"/>
      <c r="D541" s="20"/>
      <c r="E541" s="20"/>
      <c r="F541" s="20"/>
      <c r="G541" s="20"/>
      <c r="H541" s="20"/>
      <c r="I541" s="24"/>
      <c r="J541" s="24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9"/>
      <c r="D542" s="20"/>
      <c r="E542" s="20"/>
      <c r="F542" s="20"/>
      <c r="G542" s="20"/>
      <c r="H542" s="20"/>
      <c r="I542" s="24"/>
      <c r="J542" s="24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9"/>
      <c r="D543" s="20"/>
      <c r="E543" s="20"/>
      <c r="F543" s="20"/>
      <c r="G543" s="20"/>
      <c r="H543" s="20"/>
      <c r="I543" s="24"/>
      <c r="J543" s="24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9"/>
      <c r="D544" s="20"/>
      <c r="E544" s="20"/>
      <c r="F544" s="20"/>
      <c r="G544" s="20"/>
      <c r="H544" s="20"/>
      <c r="I544" s="24"/>
      <c r="J544" s="24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9"/>
      <c r="D545" s="20"/>
      <c r="E545" s="20"/>
      <c r="F545" s="20"/>
      <c r="G545" s="20"/>
      <c r="H545" s="20"/>
      <c r="I545" s="24"/>
      <c r="J545" s="24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9"/>
      <c r="D546" s="20"/>
      <c r="E546" s="20"/>
      <c r="F546" s="20"/>
      <c r="G546" s="20"/>
      <c r="H546" s="20"/>
      <c r="I546" s="24"/>
      <c r="J546" s="24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9"/>
      <c r="D547" s="20"/>
      <c r="E547" s="20"/>
      <c r="F547" s="20"/>
      <c r="G547" s="20"/>
      <c r="H547" s="20"/>
      <c r="I547" s="24"/>
      <c r="J547" s="24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9"/>
      <c r="D548" s="20"/>
      <c r="E548" s="20"/>
      <c r="F548" s="20"/>
      <c r="G548" s="20"/>
      <c r="H548" s="20"/>
      <c r="I548" s="24"/>
      <c r="J548" s="24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9"/>
      <c r="D549" s="20"/>
      <c r="E549" s="20"/>
      <c r="F549" s="20"/>
      <c r="G549" s="20"/>
      <c r="H549" s="20"/>
      <c r="I549" s="24"/>
      <c r="J549" s="24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9"/>
      <c r="D550" s="20"/>
      <c r="E550" s="20"/>
      <c r="F550" s="20"/>
      <c r="G550" s="20"/>
      <c r="H550" s="20"/>
      <c r="I550" s="24"/>
      <c r="J550" s="24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9"/>
      <c r="D551" s="20"/>
      <c r="E551" s="20"/>
      <c r="F551" s="20"/>
      <c r="G551" s="20"/>
      <c r="H551" s="20"/>
      <c r="I551" s="24"/>
      <c r="J551" s="24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9"/>
      <c r="D552" s="20"/>
      <c r="E552" s="20"/>
      <c r="F552" s="20"/>
      <c r="G552" s="20"/>
      <c r="H552" s="20"/>
      <c r="I552" s="24"/>
      <c r="J552" s="24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9"/>
      <c r="D553" s="20"/>
      <c r="E553" s="20"/>
      <c r="F553" s="20"/>
      <c r="G553" s="20"/>
      <c r="H553" s="20"/>
      <c r="I553" s="24"/>
      <c r="J553" s="24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9"/>
      <c r="D554" s="20"/>
      <c r="E554" s="20"/>
      <c r="F554" s="20"/>
      <c r="G554" s="20"/>
      <c r="H554" s="20"/>
      <c r="I554" s="24"/>
      <c r="J554" s="24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9"/>
      <c r="D555" s="20"/>
      <c r="E555" s="20"/>
      <c r="F555" s="20"/>
      <c r="G555" s="20"/>
      <c r="H555" s="20"/>
      <c r="I555" s="24"/>
      <c r="J555" s="24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9"/>
      <c r="D556" s="20"/>
      <c r="E556" s="20"/>
      <c r="F556" s="20"/>
      <c r="G556" s="20"/>
      <c r="H556" s="20"/>
      <c r="I556" s="24"/>
      <c r="J556" s="24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9"/>
      <c r="D557" s="20"/>
      <c r="E557" s="20"/>
      <c r="F557" s="20"/>
      <c r="G557" s="20"/>
      <c r="H557" s="20"/>
      <c r="I557" s="24"/>
      <c r="J557" s="24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9"/>
      <c r="D558" s="20"/>
      <c r="E558" s="20"/>
      <c r="F558" s="20"/>
      <c r="G558" s="20"/>
      <c r="H558" s="20"/>
      <c r="I558" s="24"/>
      <c r="J558" s="24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9"/>
      <c r="D559" s="20"/>
      <c r="E559" s="20"/>
      <c r="F559" s="20"/>
      <c r="G559" s="20"/>
      <c r="H559" s="20"/>
      <c r="I559" s="24"/>
      <c r="J559" s="24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9"/>
      <c r="D560" s="20"/>
      <c r="E560" s="20"/>
      <c r="F560" s="20"/>
      <c r="G560" s="20"/>
      <c r="H560" s="20"/>
      <c r="I560" s="24"/>
      <c r="J560" s="24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9"/>
      <c r="D561" s="20"/>
      <c r="E561" s="20"/>
      <c r="F561" s="20"/>
      <c r="G561" s="20"/>
      <c r="H561" s="20"/>
      <c r="I561" s="24"/>
      <c r="J561" s="24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9"/>
      <c r="D562" s="20"/>
      <c r="E562" s="20"/>
      <c r="F562" s="20"/>
      <c r="G562" s="20"/>
      <c r="H562" s="20"/>
      <c r="I562" s="24"/>
      <c r="J562" s="24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9"/>
      <c r="D563" s="20"/>
      <c r="E563" s="20"/>
      <c r="F563" s="20"/>
      <c r="G563" s="20"/>
      <c r="H563" s="20"/>
      <c r="I563" s="24"/>
      <c r="J563" s="24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9"/>
      <c r="D564" s="20"/>
      <c r="E564" s="20"/>
      <c r="F564" s="20"/>
      <c r="G564" s="20"/>
      <c r="H564" s="20"/>
      <c r="I564" s="24"/>
      <c r="J564" s="24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</sheetData>
  <autoFilter ref="$B$1:$B$564"/>
  <mergeCells count="1">
    <mergeCell ref="A2:A4"/>
  </mergeCells>
  <conditionalFormatting sqref="C2:I564">
    <cfRule type="colorScale" priority="1">
      <colorScale>
        <cfvo type="formula" val="1"/>
        <cfvo type="formula" val="3"/>
        <cfvo type="formula" val="5"/>
        <color rgb="FFE06666"/>
        <color rgb="FFFFD966"/>
        <color rgb="FF57BB8A"/>
      </colorScale>
    </cfRule>
  </conditionalFormatting>
  <dataValidations>
    <dataValidation type="list" allowBlank="1" showErrorMessage="1" sqref="A2">
      <formula1>Data!$B$2:$B564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25"/>
    <col customWidth="1" min="2" max="2" width="9.38"/>
    <col customWidth="1" min="3" max="3" width="15.13"/>
    <col customWidth="1" min="4" max="4" width="27.88"/>
    <col customWidth="1" min="5" max="5" width="18.0"/>
    <col customWidth="1" min="6" max="6" width="19.88"/>
    <col customWidth="1" min="7" max="7" width="25.5"/>
    <col customWidth="1" min="8" max="8" width="13.25"/>
    <col customWidth="1" min="9" max="9" width="17.25"/>
    <col customWidth="1" min="10" max="10" width="15.88"/>
    <col customWidth="1" min="11" max="11" width="52.63"/>
    <col customWidth="1" min="12" max="12" width="54.75"/>
    <col customWidth="1" min="13" max="13" width="31.5"/>
  </cols>
  <sheetData>
    <row r="1">
      <c r="A1" s="27" t="s">
        <v>25</v>
      </c>
      <c r="B1" s="27" t="s">
        <v>6</v>
      </c>
      <c r="C1" s="28" t="s">
        <v>3</v>
      </c>
      <c r="D1" s="27" t="s">
        <v>9</v>
      </c>
      <c r="E1" s="29" t="s">
        <v>26</v>
      </c>
      <c r="F1" s="29" t="s">
        <v>27</v>
      </c>
      <c r="G1" s="29" t="s">
        <v>28</v>
      </c>
      <c r="H1" s="30" t="s">
        <v>29</v>
      </c>
      <c r="I1" s="30" t="s">
        <v>30</v>
      </c>
      <c r="J1" s="30" t="str">
        <f t="array" ref="J1:J158">{"Visual Aesthetics"; MAP(E2:E158, G2:G158, H2:H158, LAMBDA(d, f, g, 
  IF(COUNT(d, f, g) = 0, , Round(AVERAGE(d, f, g), 1))
))}</f>
        <v>Visual Aesthetics</v>
      </c>
      <c r="K1" s="29" t="s">
        <v>31</v>
      </c>
      <c r="L1" s="27" t="s">
        <v>32</v>
      </c>
      <c r="M1" s="27" t="s">
        <v>33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>
      <c r="A2" s="32">
        <v>46062.0</v>
      </c>
      <c r="B2" s="33" t="s">
        <v>34</v>
      </c>
      <c r="C2" s="34" t="s">
        <v>5</v>
      </c>
      <c r="D2" s="35" t="s">
        <v>12</v>
      </c>
      <c r="E2" s="35">
        <v>4.0</v>
      </c>
      <c r="F2" s="35">
        <v>4.0</v>
      </c>
      <c r="G2" s="35">
        <v>2.0</v>
      </c>
      <c r="H2" s="36">
        <v>5.0</v>
      </c>
      <c r="I2" s="36">
        <v>2.0</v>
      </c>
      <c r="J2" s="36">
        <v>3.7</v>
      </c>
      <c r="K2" s="37" t="s">
        <v>35</v>
      </c>
      <c r="L2" s="38"/>
      <c r="M2" s="38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>
      <c r="A3" s="32">
        <v>46062.0</v>
      </c>
      <c r="B3" s="33" t="s">
        <v>34</v>
      </c>
      <c r="C3" s="34" t="s">
        <v>5</v>
      </c>
      <c r="D3" s="35" t="s">
        <v>36</v>
      </c>
      <c r="E3" s="35">
        <v>5.0</v>
      </c>
      <c r="F3" s="35">
        <v>5.0</v>
      </c>
      <c r="G3" s="35">
        <v>3.0</v>
      </c>
      <c r="H3" s="36">
        <v>5.0</v>
      </c>
      <c r="I3" s="36">
        <v>5.0</v>
      </c>
      <c r="J3" s="36">
        <v>4.3</v>
      </c>
      <c r="K3" s="37" t="s">
        <v>37</v>
      </c>
      <c r="L3" s="38"/>
      <c r="M3" s="38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>
      <c r="A4" s="32">
        <v>46062.0</v>
      </c>
      <c r="B4" s="33" t="s">
        <v>34</v>
      </c>
      <c r="C4" s="34" t="s">
        <v>5</v>
      </c>
      <c r="D4" s="35" t="s">
        <v>11</v>
      </c>
      <c r="E4" s="35">
        <v>4.0</v>
      </c>
      <c r="F4" s="35">
        <v>4.0</v>
      </c>
      <c r="G4" s="35">
        <v>3.0</v>
      </c>
      <c r="H4" s="36">
        <v>3.0</v>
      </c>
      <c r="I4" s="36">
        <v>4.0</v>
      </c>
      <c r="J4" s="36">
        <v>3.3</v>
      </c>
      <c r="K4" s="37" t="s">
        <v>38</v>
      </c>
      <c r="L4" s="38"/>
      <c r="M4" s="38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</row>
    <row r="5">
      <c r="A5" s="32">
        <v>46062.0</v>
      </c>
      <c r="B5" s="33" t="s">
        <v>34</v>
      </c>
      <c r="C5" s="34" t="s">
        <v>5</v>
      </c>
      <c r="D5" s="35" t="s">
        <v>10</v>
      </c>
      <c r="E5" s="35">
        <v>5.0</v>
      </c>
      <c r="F5" s="35">
        <v>3.0</v>
      </c>
      <c r="G5" s="35">
        <v>3.0</v>
      </c>
      <c r="H5" s="36">
        <v>5.0</v>
      </c>
      <c r="I5" s="36">
        <v>3.0</v>
      </c>
      <c r="J5" s="36">
        <v>4.3</v>
      </c>
      <c r="K5" s="37" t="s">
        <v>35</v>
      </c>
      <c r="L5" s="38"/>
      <c r="M5" s="38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</row>
    <row r="6">
      <c r="A6" s="32">
        <v>46062.0</v>
      </c>
      <c r="B6" s="33" t="s">
        <v>34</v>
      </c>
      <c r="C6" s="34" t="s">
        <v>5</v>
      </c>
      <c r="D6" s="35" t="s">
        <v>39</v>
      </c>
      <c r="E6" s="35">
        <v>5.0</v>
      </c>
      <c r="F6" s="35">
        <v>3.0</v>
      </c>
      <c r="G6" s="35">
        <v>4.0</v>
      </c>
      <c r="H6" s="36">
        <v>3.0</v>
      </c>
      <c r="I6" s="36">
        <v>3.0</v>
      </c>
      <c r="J6" s="36">
        <v>4.0</v>
      </c>
      <c r="K6" s="37" t="s">
        <v>40</v>
      </c>
      <c r="L6" s="38"/>
      <c r="M6" s="38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>
      <c r="A7" s="32">
        <v>46062.0</v>
      </c>
      <c r="B7" s="33" t="s">
        <v>34</v>
      </c>
      <c r="C7" s="34" t="s">
        <v>5</v>
      </c>
      <c r="D7" s="35" t="s">
        <v>41</v>
      </c>
      <c r="E7" s="35">
        <v>5.0</v>
      </c>
      <c r="F7" s="35">
        <v>4.0</v>
      </c>
      <c r="G7" s="35">
        <v>5.0</v>
      </c>
      <c r="H7" s="36">
        <v>2.0</v>
      </c>
      <c r="I7" s="36">
        <v>5.0</v>
      </c>
      <c r="J7" s="36">
        <v>4.0</v>
      </c>
      <c r="K7" s="37" t="s">
        <v>38</v>
      </c>
      <c r="L7" s="38"/>
      <c r="M7" s="38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>
      <c r="A8" s="32">
        <v>46062.0</v>
      </c>
      <c r="B8" s="33" t="s">
        <v>34</v>
      </c>
      <c r="C8" s="34" t="s">
        <v>5</v>
      </c>
      <c r="D8" s="35" t="s">
        <v>42</v>
      </c>
      <c r="E8" s="35">
        <v>5.0</v>
      </c>
      <c r="F8" s="35">
        <v>4.0</v>
      </c>
      <c r="G8" s="35">
        <v>1.0</v>
      </c>
      <c r="H8" s="36">
        <v>4.0</v>
      </c>
      <c r="I8" s="36">
        <v>1.0</v>
      </c>
      <c r="J8" s="36">
        <v>3.3</v>
      </c>
      <c r="K8" s="37" t="s">
        <v>43</v>
      </c>
      <c r="L8" s="38"/>
      <c r="M8" s="38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>
      <c r="A9" s="32">
        <v>46062.0</v>
      </c>
      <c r="B9" s="33" t="s">
        <v>34</v>
      </c>
      <c r="C9" s="34" t="s">
        <v>5</v>
      </c>
      <c r="D9" s="35" t="s">
        <v>44</v>
      </c>
      <c r="E9" s="35">
        <v>5.0</v>
      </c>
      <c r="F9" s="35">
        <v>3.0</v>
      </c>
      <c r="G9" s="35">
        <v>2.0</v>
      </c>
      <c r="H9" s="36">
        <v>3.0</v>
      </c>
      <c r="I9" s="36">
        <v>5.0</v>
      </c>
      <c r="J9" s="36">
        <v>3.3</v>
      </c>
      <c r="K9" s="37" t="s">
        <v>45</v>
      </c>
      <c r="L9" s="38"/>
      <c r="M9" s="38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>
      <c r="A10" s="32">
        <v>46062.0</v>
      </c>
      <c r="B10" s="33" t="s">
        <v>34</v>
      </c>
      <c r="C10" s="34" t="s">
        <v>5</v>
      </c>
      <c r="D10" s="35" t="s">
        <v>46</v>
      </c>
      <c r="E10" s="35">
        <v>4.0</v>
      </c>
      <c r="F10" s="35">
        <v>4.0</v>
      </c>
      <c r="G10" s="35">
        <v>1.0</v>
      </c>
      <c r="H10" s="36">
        <v>3.0</v>
      </c>
      <c r="I10" s="36">
        <v>1.0</v>
      </c>
      <c r="J10" s="36">
        <v>2.7</v>
      </c>
      <c r="K10" s="37" t="s">
        <v>47</v>
      </c>
      <c r="L10" s="38"/>
      <c r="M10" s="38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>
      <c r="A11" s="32">
        <v>46062.0</v>
      </c>
      <c r="B11" s="33" t="s">
        <v>34</v>
      </c>
      <c r="C11" s="34" t="s">
        <v>48</v>
      </c>
      <c r="D11" s="35" t="s">
        <v>12</v>
      </c>
      <c r="E11" s="35">
        <v>4.0</v>
      </c>
      <c r="F11" s="35">
        <v>5.0</v>
      </c>
      <c r="G11" s="35">
        <v>4.0</v>
      </c>
      <c r="H11" s="36">
        <v>2.0</v>
      </c>
      <c r="I11" s="36">
        <v>3.0</v>
      </c>
      <c r="J11" s="36">
        <v>3.3</v>
      </c>
      <c r="K11" s="37" t="s">
        <v>49</v>
      </c>
      <c r="L11" s="38"/>
      <c r="M11" s="38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>
      <c r="A12" s="32">
        <v>46062.0</v>
      </c>
      <c r="B12" s="33" t="s">
        <v>34</v>
      </c>
      <c r="C12" s="34" t="s">
        <v>48</v>
      </c>
      <c r="D12" s="35" t="s">
        <v>36</v>
      </c>
      <c r="E12" s="35"/>
      <c r="F12" s="35"/>
      <c r="G12" s="35"/>
      <c r="H12" s="36"/>
      <c r="I12" s="36"/>
      <c r="J12" s="36"/>
      <c r="K12" s="37" t="s">
        <v>50</v>
      </c>
      <c r="L12" s="35" t="s">
        <v>51</v>
      </c>
      <c r="M12" s="38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>
      <c r="A13" s="32">
        <v>46062.0</v>
      </c>
      <c r="B13" s="33" t="s">
        <v>34</v>
      </c>
      <c r="C13" s="34" t="s">
        <v>48</v>
      </c>
      <c r="D13" s="35" t="s">
        <v>11</v>
      </c>
      <c r="E13" s="35">
        <v>5.0</v>
      </c>
      <c r="F13" s="35">
        <v>4.0</v>
      </c>
      <c r="G13" s="35">
        <v>5.0</v>
      </c>
      <c r="H13" s="36">
        <v>5.0</v>
      </c>
      <c r="I13" s="36">
        <v>4.0</v>
      </c>
      <c r="J13" s="36">
        <v>5.0</v>
      </c>
      <c r="K13" s="37" t="s">
        <v>52</v>
      </c>
      <c r="L13" s="38"/>
      <c r="M13" s="38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>
      <c r="A14" s="32">
        <v>46062.0</v>
      </c>
      <c r="B14" s="33" t="s">
        <v>34</v>
      </c>
      <c r="C14" s="34" t="s">
        <v>48</v>
      </c>
      <c r="D14" s="35" t="s">
        <v>10</v>
      </c>
      <c r="E14" s="35">
        <v>5.0</v>
      </c>
      <c r="F14" s="35">
        <v>4.0</v>
      </c>
      <c r="G14" s="35">
        <v>4.0</v>
      </c>
      <c r="H14" s="36">
        <v>2.0</v>
      </c>
      <c r="I14" s="36">
        <v>3.0</v>
      </c>
      <c r="J14" s="36">
        <v>3.7</v>
      </c>
      <c r="K14" s="37" t="s">
        <v>53</v>
      </c>
      <c r="L14" s="38"/>
      <c r="M14" s="38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>
      <c r="A15" s="32">
        <v>46062.0</v>
      </c>
      <c r="B15" s="33" t="s">
        <v>34</v>
      </c>
      <c r="C15" s="34" t="s">
        <v>48</v>
      </c>
      <c r="D15" s="35" t="s">
        <v>39</v>
      </c>
      <c r="E15" s="35">
        <v>2.0</v>
      </c>
      <c r="F15" s="35">
        <v>2.0</v>
      </c>
      <c r="G15" s="35">
        <v>3.0</v>
      </c>
      <c r="H15" s="36">
        <v>5.0</v>
      </c>
      <c r="I15" s="36">
        <v>1.0</v>
      </c>
      <c r="J15" s="36">
        <v>3.3</v>
      </c>
      <c r="K15" s="37" t="s">
        <v>54</v>
      </c>
      <c r="L15" s="38"/>
      <c r="M15" s="38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>
      <c r="A16" s="32">
        <v>46062.0</v>
      </c>
      <c r="B16" s="33" t="s">
        <v>34</v>
      </c>
      <c r="C16" s="34" t="s">
        <v>48</v>
      </c>
      <c r="D16" s="35" t="s">
        <v>41</v>
      </c>
      <c r="E16" s="35">
        <v>5.0</v>
      </c>
      <c r="F16" s="35">
        <v>4.0</v>
      </c>
      <c r="G16" s="35">
        <v>5.0</v>
      </c>
      <c r="H16" s="36">
        <v>1.0</v>
      </c>
      <c r="I16" s="36">
        <v>3.0</v>
      </c>
      <c r="J16" s="36">
        <v>3.7</v>
      </c>
      <c r="K16" s="37" t="s">
        <v>38</v>
      </c>
      <c r="L16" s="38"/>
      <c r="M16" s="38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>
      <c r="A17" s="32">
        <v>46062.0</v>
      </c>
      <c r="B17" s="33" t="s">
        <v>34</v>
      </c>
      <c r="C17" s="34" t="s">
        <v>48</v>
      </c>
      <c r="D17" s="35" t="s">
        <v>42</v>
      </c>
      <c r="E17" s="35">
        <v>5.0</v>
      </c>
      <c r="F17" s="35">
        <v>5.0</v>
      </c>
      <c r="G17" s="35">
        <v>5.0</v>
      </c>
      <c r="H17" s="36">
        <v>3.0</v>
      </c>
      <c r="I17" s="36">
        <v>4.0</v>
      </c>
      <c r="J17" s="36">
        <v>4.3</v>
      </c>
      <c r="K17" s="37" t="s">
        <v>50</v>
      </c>
      <c r="L17" s="38"/>
      <c r="M17" s="38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>
      <c r="A18" s="32">
        <v>46062.0</v>
      </c>
      <c r="B18" s="33" t="s">
        <v>34</v>
      </c>
      <c r="C18" s="34" t="s">
        <v>48</v>
      </c>
      <c r="D18" s="35" t="s">
        <v>44</v>
      </c>
      <c r="E18" s="35">
        <v>5.0</v>
      </c>
      <c r="F18" s="35">
        <v>4.0</v>
      </c>
      <c r="G18" s="35">
        <v>3.0</v>
      </c>
      <c r="H18" s="36">
        <v>1.0</v>
      </c>
      <c r="I18" s="36">
        <v>3.0</v>
      </c>
      <c r="J18" s="36">
        <v>3.0</v>
      </c>
      <c r="K18" s="37" t="s">
        <v>55</v>
      </c>
      <c r="L18" s="38"/>
      <c r="M18" s="38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>
      <c r="A19" s="32">
        <v>46062.0</v>
      </c>
      <c r="B19" s="33" t="s">
        <v>34</v>
      </c>
      <c r="C19" s="34" t="s">
        <v>48</v>
      </c>
      <c r="D19" s="35" t="s">
        <v>46</v>
      </c>
      <c r="E19" s="35">
        <v>5.0</v>
      </c>
      <c r="F19" s="35">
        <v>4.0</v>
      </c>
      <c r="G19" s="35">
        <v>5.0</v>
      </c>
      <c r="H19" s="36">
        <v>4.0</v>
      </c>
      <c r="I19" s="36">
        <v>5.0</v>
      </c>
      <c r="J19" s="36">
        <v>4.7</v>
      </c>
      <c r="K19" s="37" t="s">
        <v>53</v>
      </c>
      <c r="L19" s="38"/>
      <c r="M19" s="38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>
      <c r="A20" s="32">
        <v>46062.0</v>
      </c>
      <c r="B20" s="33" t="s">
        <v>34</v>
      </c>
      <c r="C20" s="34" t="s">
        <v>56</v>
      </c>
      <c r="D20" s="35" t="s">
        <v>12</v>
      </c>
      <c r="E20" s="35">
        <v>4.0</v>
      </c>
      <c r="F20" s="35">
        <v>5.0</v>
      </c>
      <c r="G20" s="35">
        <v>4.0</v>
      </c>
      <c r="H20" s="36">
        <v>1.0</v>
      </c>
      <c r="I20" s="36">
        <v>3.0</v>
      </c>
      <c r="J20" s="36">
        <v>3.0</v>
      </c>
      <c r="K20" s="37" t="s">
        <v>57</v>
      </c>
      <c r="L20" s="38"/>
      <c r="M20" s="38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>
      <c r="A21" s="32">
        <v>46062.0</v>
      </c>
      <c r="B21" s="33" t="s">
        <v>34</v>
      </c>
      <c r="C21" s="34" t="s">
        <v>56</v>
      </c>
      <c r="D21" s="35" t="s">
        <v>36</v>
      </c>
      <c r="E21" s="35">
        <v>5.0</v>
      </c>
      <c r="F21" s="35">
        <v>5.0</v>
      </c>
      <c r="G21" s="35">
        <v>5.0</v>
      </c>
      <c r="H21" s="36">
        <v>1.0</v>
      </c>
      <c r="I21" s="36">
        <v>2.0</v>
      </c>
      <c r="J21" s="36">
        <v>3.7</v>
      </c>
      <c r="K21" s="37" t="s">
        <v>53</v>
      </c>
      <c r="L21" s="38"/>
      <c r="M21" s="38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>
      <c r="A22" s="32">
        <v>46062.0</v>
      </c>
      <c r="B22" s="33" t="s">
        <v>34</v>
      </c>
      <c r="C22" s="34" t="s">
        <v>56</v>
      </c>
      <c r="D22" s="35" t="s">
        <v>11</v>
      </c>
      <c r="E22" s="35">
        <v>2.0</v>
      </c>
      <c r="F22" s="35">
        <v>3.0</v>
      </c>
      <c r="G22" s="35">
        <v>3.0</v>
      </c>
      <c r="H22" s="36">
        <v>2.0</v>
      </c>
      <c r="I22" s="36">
        <v>2.0</v>
      </c>
      <c r="J22" s="36">
        <v>2.3</v>
      </c>
      <c r="K22" s="37" t="s">
        <v>58</v>
      </c>
      <c r="L22" s="38"/>
      <c r="M22" s="38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>
      <c r="A23" s="32">
        <v>46062.0</v>
      </c>
      <c r="B23" s="33" t="s">
        <v>34</v>
      </c>
      <c r="C23" s="34" t="s">
        <v>56</v>
      </c>
      <c r="D23" s="35" t="s">
        <v>10</v>
      </c>
      <c r="E23" s="35">
        <v>1.0</v>
      </c>
      <c r="F23" s="35">
        <v>2.0</v>
      </c>
      <c r="G23" s="35">
        <v>4.0</v>
      </c>
      <c r="H23" s="36">
        <v>5.0</v>
      </c>
      <c r="I23" s="36">
        <v>1.0</v>
      </c>
      <c r="J23" s="36">
        <v>3.3</v>
      </c>
      <c r="K23" s="37" t="s">
        <v>59</v>
      </c>
      <c r="L23" s="38"/>
      <c r="M23" s="38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>
      <c r="A24" s="32">
        <v>46062.0</v>
      </c>
      <c r="B24" s="33" t="s">
        <v>34</v>
      </c>
      <c r="C24" s="34" t="s">
        <v>56</v>
      </c>
      <c r="D24" s="35" t="s">
        <v>39</v>
      </c>
      <c r="E24" s="35">
        <v>3.0</v>
      </c>
      <c r="F24" s="35">
        <v>2.0</v>
      </c>
      <c r="G24" s="35">
        <v>2.0</v>
      </c>
      <c r="H24" s="36">
        <v>1.0</v>
      </c>
      <c r="I24" s="36">
        <v>1.0</v>
      </c>
      <c r="J24" s="36">
        <v>2.0</v>
      </c>
      <c r="K24" s="37" t="s">
        <v>60</v>
      </c>
      <c r="L24" s="38"/>
      <c r="M24" s="38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27.75" customHeight="1">
      <c r="A25" s="32">
        <v>46062.0</v>
      </c>
      <c r="B25" s="33" t="s">
        <v>34</v>
      </c>
      <c r="C25" s="34" t="s">
        <v>56</v>
      </c>
      <c r="D25" s="39" t="s">
        <v>41</v>
      </c>
      <c r="E25" s="35"/>
      <c r="F25" s="35"/>
      <c r="G25" s="35"/>
      <c r="H25" s="36"/>
      <c r="I25" s="36"/>
      <c r="J25" s="36"/>
      <c r="K25" s="37" t="s">
        <v>50</v>
      </c>
      <c r="L25" s="35" t="s">
        <v>61</v>
      </c>
      <c r="M25" s="38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>
      <c r="A26" s="32">
        <v>46062.0</v>
      </c>
      <c r="B26" s="33" t="s">
        <v>34</v>
      </c>
      <c r="C26" s="34" t="s">
        <v>56</v>
      </c>
      <c r="D26" s="35" t="s">
        <v>42</v>
      </c>
      <c r="E26" s="35">
        <v>3.0</v>
      </c>
      <c r="F26" s="35">
        <v>1.0</v>
      </c>
      <c r="G26" s="35">
        <v>4.0</v>
      </c>
      <c r="H26" s="36">
        <v>3.0</v>
      </c>
      <c r="I26" s="36">
        <v>4.0</v>
      </c>
      <c r="J26" s="36">
        <v>3.3</v>
      </c>
      <c r="K26" s="37" t="s">
        <v>62</v>
      </c>
      <c r="L26" s="38"/>
      <c r="M26" s="38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>
      <c r="A27" s="32">
        <v>46062.0</v>
      </c>
      <c r="B27" s="33" t="s">
        <v>34</v>
      </c>
      <c r="C27" s="34" t="s">
        <v>56</v>
      </c>
      <c r="D27" s="35" t="s">
        <v>44</v>
      </c>
      <c r="E27" s="35">
        <v>2.0</v>
      </c>
      <c r="F27" s="35">
        <v>4.0</v>
      </c>
      <c r="G27" s="35">
        <v>4.0</v>
      </c>
      <c r="H27" s="36">
        <v>1.0</v>
      </c>
      <c r="I27" s="36">
        <v>3.0</v>
      </c>
      <c r="J27" s="36">
        <v>2.3</v>
      </c>
      <c r="K27" s="37" t="s">
        <v>63</v>
      </c>
      <c r="L27" s="38"/>
      <c r="M27" s="38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>
      <c r="A28" s="32">
        <v>46062.0</v>
      </c>
      <c r="B28" s="33" t="s">
        <v>34</v>
      </c>
      <c r="C28" s="34" t="s">
        <v>56</v>
      </c>
      <c r="D28" s="35" t="s">
        <v>46</v>
      </c>
      <c r="E28" s="35">
        <v>1.0</v>
      </c>
      <c r="F28" s="35">
        <v>4.0</v>
      </c>
      <c r="G28" s="35">
        <v>1.0</v>
      </c>
      <c r="H28" s="36">
        <v>1.0</v>
      </c>
      <c r="I28" s="36">
        <v>1.0</v>
      </c>
      <c r="J28" s="36">
        <v>1.0</v>
      </c>
      <c r="K28" s="37" t="s">
        <v>64</v>
      </c>
      <c r="L28" s="38"/>
      <c r="M28" s="38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>
      <c r="A29" s="32">
        <v>46062.0</v>
      </c>
      <c r="B29" s="33" t="s">
        <v>34</v>
      </c>
      <c r="C29" s="34" t="s">
        <v>65</v>
      </c>
      <c r="D29" s="35" t="s">
        <v>12</v>
      </c>
      <c r="E29" s="35"/>
      <c r="F29" s="35"/>
      <c r="G29" s="35"/>
      <c r="H29" s="36"/>
      <c r="I29" s="36"/>
      <c r="J29" s="36"/>
      <c r="K29" s="37" t="s">
        <v>50</v>
      </c>
      <c r="L29" s="35" t="s">
        <v>66</v>
      </c>
      <c r="M29" s="38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>
      <c r="A30" s="32">
        <v>46062.0</v>
      </c>
      <c r="B30" s="33" t="s">
        <v>34</v>
      </c>
      <c r="C30" s="34" t="s">
        <v>65</v>
      </c>
      <c r="D30" s="35" t="s">
        <v>36</v>
      </c>
      <c r="E30" s="35"/>
      <c r="F30" s="35"/>
      <c r="G30" s="35"/>
      <c r="H30" s="36"/>
      <c r="I30" s="36"/>
      <c r="J30" s="36"/>
      <c r="K30" s="37" t="s">
        <v>50</v>
      </c>
      <c r="L30" s="35" t="s">
        <v>67</v>
      </c>
      <c r="M30" s="38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>
      <c r="A31" s="32">
        <v>46062.0</v>
      </c>
      <c r="B31" s="33" t="s">
        <v>34</v>
      </c>
      <c r="C31" s="34" t="s">
        <v>68</v>
      </c>
      <c r="D31" s="35" t="s">
        <v>12</v>
      </c>
      <c r="E31" s="35"/>
      <c r="F31" s="35"/>
      <c r="G31" s="35"/>
      <c r="H31" s="36"/>
      <c r="I31" s="36"/>
      <c r="J31" s="36"/>
      <c r="K31" s="37" t="s">
        <v>50</v>
      </c>
      <c r="L31" s="35" t="s">
        <v>51</v>
      </c>
      <c r="M31" s="38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>
      <c r="A32" s="32">
        <v>46062.0</v>
      </c>
      <c r="B32" s="33" t="s">
        <v>34</v>
      </c>
      <c r="C32" s="34" t="s">
        <v>68</v>
      </c>
      <c r="D32" s="35" t="s">
        <v>36</v>
      </c>
      <c r="E32" s="35"/>
      <c r="F32" s="35"/>
      <c r="G32" s="35"/>
      <c r="H32" s="36"/>
      <c r="I32" s="36"/>
      <c r="J32" s="36"/>
      <c r="K32" s="37" t="s">
        <v>50</v>
      </c>
      <c r="L32" s="35" t="s">
        <v>51</v>
      </c>
      <c r="M32" s="38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>
      <c r="A33" s="32">
        <v>46062.0</v>
      </c>
      <c r="B33" s="33" t="s">
        <v>34</v>
      </c>
      <c r="C33" s="34" t="s">
        <v>68</v>
      </c>
      <c r="D33" s="35" t="s">
        <v>11</v>
      </c>
      <c r="E33" s="35"/>
      <c r="F33" s="35"/>
      <c r="G33" s="35"/>
      <c r="H33" s="36"/>
      <c r="I33" s="36"/>
      <c r="J33" s="36"/>
      <c r="K33" s="37" t="s">
        <v>50</v>
      </c>
      <c r="L33" s="35" t="s">
        <v>51</v>
      </c>
      <c r="M33" s="38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>
      <c r="A34" s="32">
        <v>46062.0</v>
      </c>
      <c r="B34" s="33" t="s">
        <v>34</v>
      </c>
      <c r="C34" s="34" t="s">
        <v>69</v>
      </c>
      <c r="D34" s="35" t="s">
        <v>46</v>
      </c>
      <c r="E34" s="35">
        <v>1.0</v>
      </c>
      <c r="F34" s="35">
        <v>3.0</v>
      </c>
      <c r="G34" s="35">
        <v>3.0</v>
      </c>
      <c r="H34" s="35">
        <v>1.0</v>
      </c>
      <c r="I34" s="35">
        <v>1.0</v>
      </c>
      <c r="J34" s="36">
        <v>1.7</v>
      </c>
      <c r="K34" s="37" t="s">
        <v>60</v>
      </c>
      <c r="L34" s="38"/>
      <c r="M34" s="38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>
      <c r="A35" s="32">
        <v>46062.0</v>
      </c>
      <c r="B35" s="33" t="s">
        <v>34</v>
      </c>
      <c r="C35" s="34" t="s">
        <v>69</v>
      </c>
      <c r="D35" s="35" t="s">
        <v>10</v>
      </c>
      <c r="E35" s="35">
        <v>3.0</v>
      </c>
      <c r="F35" s="35">
        <v>3.0</v>
      </c>
      <c r="G35" s="35">
        <v>5.0</v>
      </c>
      <c r="H35" s="36">
        <v>2.0</v>
      </c>
      <c r="I35" s="36">
        <v>4.0</v>
      </c>
      <c r="J35" s="36">
        <v>3.3</v>
      </c>
      <c r="K35" s="37" t="s">
        <v>70</v>
      </c>
      <c r="L35" s="38"/>
      <c r="M35" s="38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>
      <c r="A36" s="40"/>
      <c r="B36" s="41"/>
      <c r="C36" s="42"/>
      <c r="D36" s="43"/>
      <c r="E36" s="43"/>
      <c r="F36" s="43"/>
      <c r="G36" s="43"/>
      <c r="H36" s="44"/>
      <c r="I36" s="44"/>
      <c r="J36" s="44"/>
      <c r="K36" s="45"/>
      <c r="L36" s="46"/>
      <c r="M36" s="46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32">
        <v>46069.0</v>
      </c>
      <c r="B37" s="33" t="s">
        <v>7</v>
      </c>
      <c r="C37" s="34" t="s">
        <v>5</v>
      </c>
      <c r="D37" s="35" t="s">
        <v>12</v>
      </c>
      <c r="E37" s="35">
        <v>4.0</v>
      </c>
      <c r="F37" s="35">
        <v>5.0</v>
      </c>
      <c r="G37" s="35">
        <v>3.0</v>
      </c>
      <c r="H37" s="36">
        <v>2.0</v>
      </c>
      <c r="I37" s="36">
        <v>3.0</v>
      </c>
      <c r="J37" s="36">
        <v>3.0</v>
      </c>
      <c r="K37" s="37" t="s">
        <v>71</v>
      </c>
      <c r="L37" s="38"/>
      <c r="M37" s="38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>
      <c r="A38" s="32">
        <v>46069.0</v>
      </c>
      <c r="B38" s="33" t="s">
        <v>7</v>
      </c>
      <c r="C38" s="34" t="s">
        <v>5</v>
      </c>
      <c r="D38" s="35" t="s">
        <v>36</v>
      </c>
      <c r="E38" s="35">
        <v>5.0</v>
      </c>
      <c r="F38" s="35">
        <v>4.0</v>
      </c>
      <c r="G38" s="35">
        <v>3.0</v>
      </c>
      <c r="H38" s="36">
        <v>3.0</v>
      </c>
      <c r="I38" s="36">
        <v>4.0</v>
      </c>
      <c r="J38" s="36">
        <v>3.7</v>
      </c>
      <c r="K38" s="37" t="s">
        <v>72</v>
      </c>
      <c r="L38" s="38"/>
      <c r="M38" s="38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>
      <c r="A39" s="32">
        <v>46069.0</v>
      </c>
      <c r="B39" s="33" t="s">
        <v>7</v>
      </c>
      <c r="C39" s="34" t="s">
        <v>5</v>
      </c>
      <c r="D39" s="35" t="s">
        <v>11</v>
      </c>
      <c r="E39" s="35">
        <v>5.0</v>
      </c>
      <c r="F39" s="35">
        <v>3.0</v>
      </c>
      <c r="G39" s="35">
        <v>4.0</v>
      </c>
      <c r="H39" s="36">
        <v>5.0</v>
      </c>
      <c r="I39" s="36">
        <v>4.0</v>
      </c>
      <c r="J39" s="36">
        <v>4.7</v>
      </c>
      <c r="K39" s="37" t="s">
        <v>73</v>
      </c>
      <c r="L39" s="38"/>
      <c r="M39" s="38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>
      <c r="A40" s="32">
        <v>46069.0</v>
      </c>
      <c r="B40" s="33" t="s">
        <v>7</v>
      </c>
      <c r="C40" s="34" t="s">
        <v>5</v>
      </c>
      <c r="D40" s="35" t="s">
        <v>10</v>
      </c>
      <c r="E40" s="35">
        <v>5.0</v>
      </c>
      <c r="F40" s="35">
        <v>3.0</v>
      </c>
      <c r="G40" s="35">
        <v>4.0</v>
      </c>
      <c r="H40" s="36">
        <v>5.0</v>
      </c>
      <c r="I40" s="36">
        <v>4.0</v>
      </c>
      <c r="J40" s="36">
        <v>4.7</v>
      </c>
      <c r="K40" s="37" t="s">
        <v>74</v>
      </c>
      <c r="L40" s="38"/>
      <c r="M40" s="38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>
      <c r="A41" s="32">
        <v>46069.0</v>
      </c>
      <c r="B41" s="33" t="s">
        <v>7</v>
      </c>
      <c r="C41" s="34" t="s">
        <v>5</v>
      </c>
      <c r="D41" s="35" t="s">
        <v>39</v>
      </c>
      <c r="E41" s="35">
        <v>1.0</v>
      </c>
      <c r="F41" s="35">
        <v>3.0</v>
      </c>
      <c r="G41" s="35">
        <v>2.0</v>
      </c>
      <c r="H41" s="36">
        <v>5.0</v>
      </c>
      <c r="I41" s="36">
        <v>1.0</v>
      </c>
      <c r="J41" s="36">
        <v>2.7</v>
      </c>
      <c r="K41" s="37" t="s">
        <v>75</v>
      </c>
      <c r="L41" s="38"/>
      <c r="M41" s="38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>
      <c r="A42" s="32">
        <v>46069.0</v>
      </c>
      <c r="B42" s="33" t="s">
        <v>7</v>
      </c>
      <c r="C42" s="34" t="s">
        <v>5</v>
      </c>
      <c r="D42" s="35" t="s">
        <v>41</v>
      </c>
      <c r="E42" s="35">
        <v>5.0</v>
      </c>
      <c r="F42" s="35">
        <v>4.0</v>
      </c>
      <c r="G42" s="35">
        <v>5.0</v>
      </c>
      <c r="H42" s="36">
        <v>4.0</v>
      </c>
      <c r="I42" s="36">
        <v>5.0</v>
      </c>
      <c r="J42" s="36">
        <v>4.7</v>
      </c>
      <c r="K42" s="37" t="s">
        <v>76</v>
      </c>
      <c r="L42" s="38"/>
      <c r="M42" s="38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>
      <c r="A43" s="32">
        <v>46069.0</v>
      </c>
      <c r="B43" s="33" t="s">
        <v>7</v>
      </c>
      <c r="C43" s="34" t="s">
        <v>5</v>
      </c>
      <c r="D43" s="35" t="s">
        <v>42</v>
      </c>
      <c r="E43" s="35">
        <v>5.0</v>
      </c>
      <c r="F43" s="35">
        <v>4.0</v>
      </c>
      <c r="G43" s="35">
        <v>1.0</v>
      </c>
      <c r="H43" s="36">
        <v>4.0</v>
      </c>
      <c r="I43" s="36">
        <v>4.0</v>
      </c>
      <c r="J43" s="36">
        <v>3.3</v>
      </c>
      <c r="K43" s="37" t="s">
        <v>77</v>
      </c>
      <c r="L43" s="38"/>
      <c r="M43" s="38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>
      <c r="A44" s="32">
        <v>46069.0</v>
      </c>
      <c r="B44" s="33" t="s">
        <v>7</v>
      </c>
      <c r="C44" s="34" t="s">
        <v>5</v>
      </c>
      <c r="D44" s="35" t="s">
        <v>44</v>
      </c>
      <c r="E44" s="35">
        <v>5.0</v>
      </c>
      <c r="F44" s="35">
        <v>4.0</v>
      </c>
      <c r="G44" s="35">
        <v>5.0</v>
      </c>
      <c r="H44" s="36">
        <v>5.0</v>
      </c>
      <c r="I44" s="36">
        <v>3.0</v>
      </c>
      <c r="J44" s="36">
        <v>5.0</v>
      </c>
      <c r="K44" s="37" t="s">
        <v>78</v>
      </c>
      <c r="L44" s="38"/>
      <c r="M44" s="38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>
      <c r="A45" s="32">
        <v>46069.0</v>
      </c>
      <c r="B45" s="33" t="s">
        <v>7</v>
      </c>
      <c r="C45" s="34" t="s">
        <v>5</v>
      </c>
      <c r="D45" s="35" t="s">
        <v>46</v>
      </c>
      <c r="E45" s="35">
        <v>5.0</v>
      </c>
      <c r="F45" s="35">
        <v>4.0</v>
      </c>
      <c r="G45" s="35">
        <v>3.0</v>
      </c>
      <c r="H45" s="36">
        <v>2.0</v>
      </c>
      <c r="I45" s="36">
        <v>5.0</v>
      </c>
      <c r="J45" s="36">
        <v>3.3</v>
      </c>
      <c r="K45" s="37" t="s">
        <v>79</v>
      </c>
      <c r="L45" s="38"/>
      <c r="M45" s="38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>
      <c r="A46" s="32">
        <v>46069.0</v>
      </c>
      <c r="B46" s="33" t="s">
        <v>7</v>
      </c>
      <c r="C46" s="34" t="s">
        <v>48</v>
      </c>
      <c r="D46" s="35" t="s">
        <v>12</v>
      </c>
      <c r="E46" s="35">
        <v>2.0</v>
      </c>
      <c r="F46" s="35">
        <v>4.0</v>
      </c>
      <c r="G46" s="35">
        <v>5.0</v>
      </c>
      <c r="H46" s="36">
        <v>2.0</v>
      </c>
      <c r="I46" s="36">
        <v>2.0</v>
      </c>
      <c r="J46" s="36">
        <v>3.0</v>
      </c>
      <c r="K46" s="37" t="s">
        <v>80</v>
      </c>
      <c r="L46" s="38"/>
      <c r="M46" s="38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>
      <c r="A47" s="32">
        <v>46069.0</v>
      </c>
      <c r="B47" s="33" t="s">
        <v>7</v>
      </c>
      <c r="C47" s="34" t="s">
        <v>48</v>
      </c>
      <c r="D47" s="35" t="s">
        <v>36</v>
      </c>
      <c r="E47" s="35">
        <v>1.0</v>
      </c>
      <c r="F47" s="35">
        <v>4.0</v>
      </c>
      <c r="G47" s="35">
        <v>2.0</v>
      </c>
      <c r="H47" s="36">
        <v>4.0</v>
      </c>
      <c r="I47" s="36">
        <v>1.0</v>
      </c>
      <c r="J47" s="36">
        <v>2.3</v>
      </c>
      <c r="K47" s="37" t="s">
        <v>81</v>
      </c>
      <c r="L47" s="38"/>
      <c r="M47" s="38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>
      <c r="A48" s="32">
        <v>46069.0</v>
      </c>
      <c r="B48" s="33" t="s">
        <v>7</v>
      </c>
      <c r="C48" s="34" t="s">
        <v>48</v>
      </c>
      <c r="D48" s="35" t="s">
        <v>11</v>
      </c>
      <c r="E48" s="35">
        <v>4.0</v>
      </c>
      <c r="F48" s="35">
        <v>3.0</v>
      </c>
      <c r="G48" s="35">
        <v>5.0</v>
      </c>
      <c r="H48" s="36">
        <v>5.0</v>
      </c>
      <c r="I48" s="36">
        <v>4.0</v>
      </c>
      <c r="J48" s="36">
        <v>4.7</v>
      </c>
      <c r="K48" s="37" t="s">
        <v>82</v>
      </c>
      <c r="L48" s="38"/>
      <c r="M48" s="38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>
      <c r="A49" s="32">
        <v>46069.0</v>
      </c>
      <c r="B49" s="33" t="s">
        <v>7</v>
      </c>
      <c r="C49" s="34" t="s">
        <v>48</v>
      </c>
      <c r="D49" s="35" t="s">
        <v>10</v>
      </c>
      <c r="E49" s="35">
        <v>5.0</v>
      </c>
      <c r="F49" s="35">
        <v>3.0</v>
      </c>
      <c r="G49" s="35">
        <v>5.0</v>
      </c>
      <c r="H49" s="36">
        <v>5.0</v>
      </c>
      <c r="I49" s="36">
        <v>5.0</v>
      </c>
      <c r="J49" s="36">
        <v>5.0</v>
      </c>
      <c r="K49" s="37" t="s">
        <v>83</v>
      </c>
      <c r="L49" s="38"/>
      <c r="M49" s="38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>
      <c r="A50" s="32">
        <v>46069.0</v>
      </c>
      <c r="B50" s="33" t="s">
        <v>7</v>
      </c>
      <c r="C50" s="34" t="s">
        <v>48</v>
      </c>
      <c r="D50" s="35" t="s">
        <v>39</v>
      </c>
      <c r="E50" s="35">
        <v>5.0</v>
      </c>
      <c r="F50" s="35">
        <v>5.0</v>
      </c>
      <c r="G50" s="35">
        <v>3.0</v>
      </c>
      <c r="H50" s="36">
        <v>3.0</v>
      </c>
      <c r="I50" s="36">
        <v>5.0</v>
      </c>
      <c r="J50" s="36">
        <v>3.7</v>
      </c>
      <c r="K50" s="37" t="s">
        <v>84</v>
      </c>
      <c r="L50" s="38"/>
      <c r="M50" s="38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>
      <c r="A51" s="32">
        <v>46069.0</v>
      </c>
      <c r="B51" s="33" t="s">
        <v>7</v>
      </c>
      <c r="C51" s="34" t="s">
        <v>48</v>
      </c>
      <c r="D51" s="35" t="s">
        <v>41</v>
      </c>
      <c r="E51" s="35">
        <v>5.0</v>
      </c>
      <c r="F51" s="35">
        <v>2.0</v>
      </c>
      <c r="G51" s="35">
        <v>5.0</v>
      </c>
      <c r="H51" s="36">
        <v>3.0</v>
      </c>
      <c r="I51" s="36">
        <v>4.0</v>
      </c>
      <c r="J51" s="36">
        <v>4.3</v>
      </c>
      <c r="K51" s="37" t="s">
        <v>85</v>
      </c>
      <c r="L51" s="38"/>
      <c r="M51" s="38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>
      <c r="A52" s="32">
        <v>46069.0</v>
      </c>
      <c r="B52" s="33" t="s">
        <v>7</v>
      </c>
      <c r="C52" s="34" t="s">
        <v>48</v>
      </c>
      <c r="D52" s="35" t="s">
        <v>42</v>
      </c>
      <c r="E52" s="35">
        <v>5.0</v>
      </c>
      <c r="F52" s="35">
        <v>5.0</v>
      </c>
      <c r="G52" s="35">
        <v>3.0</v>
      </c>
      <c r="H52" s="36">
        <v>4.0</v>
      </c>
      <c r="I52" s="36">
        <v>4.0</v>
      </c>
      <c r="J52" s="36">
        <v>4.0</v>
      </c>
      <c r="K52" s="37" t="s">
        <v>37</v>
      </c>
      <c r="L52" s="38"/>
      <c r="M52" s="38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>
      <c r="A53" s="32">
        <v>46069.0</v>
      </c>
      <c r="B53" s="33" t="s">
        <v>7</v>
      </c>
      <c r="C53" s="34" t="s">
        <v>48</v>
      </c>
      <c r="D53" s="35" t="s">
        <v>44</v>
      </c>
      <c r="E53" s="35">
        <v>4.0</v>
      </c>
      <c r="F53" s="35">
        <v>4.0</v>
      </c>
      <c r="G53" s="35">
        <v>5.0</v>
      </c>
      <c r="H53" s="36">
        <v>4.0</v>
      </c>
      <c r="I53" s="36">
        <v>3.0</v>
      </c>
      <c r="J53" s="36">
        <v>4.3</v>
      </c>
      <c r="K53" s="37" t="s">
        <v>86</v>
      </c>
      <c r="L53" s="38"/>
      <c r="M53" s="38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>
      <c r="A54" s="32">
        <v>46069.0</v>
      </c>
      <c r="B54" s="33" t="s">
        <v>7</v>
      </c>
      <c r="C54" s="34" t="s">
        <v>48</v>
      </c>
      <c r="D54" s="35" t="s">
        <v>46</v>
      </c>
      <c r="E54" s="35">
        <v>5.0</v>
      </c>
      <c r="F54" s="35">
        <v>4.0</v>
      </c>
      <c r="G54" s="35">
        <v>3.0</v>
      </c>
      <c r="H54" s="36">
        <v>5.0</v>
      </c>
      <c r="I54" s="36">
        <v>4.0</v>
      </c>
      <c r="J54" s="36">
        <v>4.3</v>
      </c>
      <c r="K54" s="37" t="s">
        <v>87</v>
      </c>
      <c r="L54" s="38"/>
      <c r="M54" s="38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>
      <c r="A55" s="40"/>
      <c r="B55" s="41"/>
      <c r="C55" s="42"/>
      <c r="D55" s="43"/>
      <c r="E55" s="43"/>
      <c r="F55" s="43"/>
      <c r="G55" s="43"/>
      <c r="H55" s="44"/>
      <c r="I55" s="44"/>
      <c r="J55" s="44"/>
      <c r="K55" s="45"/>
      <c r="L55" s="43"/>
      <c r="M55" s="46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>
      <c r="A56" s="32">
        <v>46076.0</v>
      </c>
      <c r="B56" s="33" t="s">
        <v>7</v>
      </c>
      <c r="C56" s="34" t="s">
        <v>88</v>
      </c>
      <c r="D56" s="35" t="s">
        <v>12</v>
      </c>
      <c r="E56" s="35"/>
      <c r="F56" s="35"/>
      <c r="G56" s="35"/>
      <c r="H56" s="36"/>
      <c r="I56" s="36"/>
      <c r="J56" s="36"/>
      <c r="K56" s="37" t="s">
        <v>50</v>
      </c>
      <c r="L56" s="35" t="s">
        <v>51</v>
      </c>
      <c r="M56" s="38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>
      <c r="A57" s="32">
        <v>46076.0</v>
      </c>
      <c r="B57" s="33" t="s">
        <v>7</v>
      </c>
      <c r="C57" s="34" t="s">
        <v>88</v>
      </c>
      <c r="D57" s="35" t="s">
        <v>36</v>
      </c>
      <c r="E57" s="35"/>
      <c r="F57" s="35"/>
      <c r="G57" s="35"/>
      <c r="H57" s="36"/>
      <c r="I57" s="36"/>
      <c r="J57" s="36"/>
      <c r="K57" s="37" t="s">
        <v>50</v>
      </c>
      <c r="L57" s="35" t="s">
        <v>51</v>
      </c>
      <c r="M57" s="38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>
      <c r="A58" s="32">
        <v>46076.0</v>
      </c>
      <c r="B58" s="33" t="s">
        <v>7</v>
      </c>
      <c r="C58" s="34" t="s">
        <v>89</v>
      </c>
      <c r="D58" s="35" t="s">
        <v>12</v>
      </c>
      <c r="E58" s="35">
        <v>5.0</v>
      </c>
      <c r="F58" s="35">
        <v>4.0</v>
      </c>
      <c r="G58" s="35">
        <v>3.0</v>
      </c>
      <c r="H58" s="36">
        <v>3.0</v>
      </c>
      <c r="I58" s="36">
        <v>3.0</v>
      </c>
      <c r="J58" s="36">
        <v>3.7</v>
      </c>
      <c r="K58" s="37" t="s">
        <v>90</v>
      </c>
      <c r="L58" s="38"/>
      <c r="M58" s="38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>
      <c r="A59" s="32">
        <v>46076.0</v>
      </c>
      <c r="B59" s="33" t="s">
        <v>7</v>
      </c>
      <c r="C59" s="34" t="s">
        <v>89</v>
      </c>
      <c r="D59" s="35" t="s">
        <v>36</v>
      </c>
      <c r="E59" s="35">
        <v>5.0</v>
      </c>
      <c r="F59" s="35">
        <v>4.0</v>
      </c>
      <c r="G59" s="35">
        <v>4.0</v>
      </c>
      <c r="H59" s="36">
        <v>3.0</v>
      </c>
      <c r="I59" s="36">
        <v>3.0</v>
      </c>
      <c r="J59" s="36">
        <v>4.0</v>
      </c>
      <c r="K59" s="37" t="s">
        <v>91</v>
      </c>
      <c r="L59" s="38"/>
      <c r="M59" s="38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>
      <c r="A60" s="32">
        <v>46076.0</v>
      </c>
      <c r="B60" s="33" t="s">
        <v>7</v>
      </c>
      <c r="C60" s="34" t="s">
        <v>89</v>
      </c>
      <c r="D60" s="35" t="s">
        <v>11</v>
      </c>
      <c r="E60" s="35"/>
      <c r="F60" s="35"/>
      <c r="G60" s="35"/>
      <c r="H60" s="36"/>
      <c r="I60" s="36"/>
      <c r="J60" s="36"/>
      <c r="K60" s="37" t="s">
        <v>50</v>
      </c>
      <c r="L60" s="48" t="s">
        <v>92</v>
      </c>
      <c r="M60" s="38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>
      <c r="A61" s="32">
        <v>46076.0</v>
      </c>
      <c r="B61" s="33" t="s">
        <v>7</v>
      </c>
      <c r="C61" s="34" t="s">
        <v>89</v>
      </c>
      <c r="D61" s="35" t="s">
        <v>10</v>
      </c>
      <c r="E61" s="35">
        <v>4.0</v>
      </c>
      <c r="F61" s="35">
        <v>3.0</v>
      </c>
      <c r="G61" s="35">
        <v>5.0</v>
      </c>
      <c r="H61" s="36">
        <v>4.0</v>
      </c>
      <c r="I61" s="36">
        <v>5.0</v>
      </c>
      <c r="J61" s="36">
        <v>4.3</v>
      </c>
      <c r="K61" s="37" t="s">
        <v>93</v>
      </c>
      <c r="L61" s="38"/>
      <c r="M61" s="38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>
      <c r="A62" s="32">
        <v>46076.0</v>
      </c>
      <c r="B62" s="33" t="s">
        <v>7</v>
      </c>
      <c r="C62" s="34" t="s">
        <v>89</v>
      </c>
      <c r="D62" s="35" t="s">
        <v>39</v>
      </c>
      <c r="E62" s="35"/>
      <c r="F62" s="35"/>
      <c r="G62" s="35"/>
      <c r="H62" s="36"/>
      <c r="I62" s="36"/>
      <c r="J62" s="36"/>
      <c r="K62" s="37" t="s">
        <v>50</v>
      </c>
      <c r="L62" s="35" t="s">
        <v>94</v>
      </c>
      <c r="M62" s="38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>
      <c r="A63" s="32">
        <v>46076.0</v>
      </c>
      <c r="B63" s="33" t="s">
        <v>7</v>
      </c>
      <c r="C63" s="34" t="s">
        <v>89</v>
      </c>
      <c r="D63" s="35" t="s">
        <v>41</v>
      </c>
      <c r="E63" s="35"/>
      <c r="F63" s="35"/>
      <c r="G63" s="35"/>
      <c r="H63" s="36"/>
      <c r="I63" s="36"/>
      <c r="J63" s="36"/>
      <c r="K63" s="37" t="s">
        <v>50</v>
      </c>
      <c r="L63" s="35" t="s">
        <v>95</v>
      </c>
      <c r="M63" s="38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>
      <c r="A64" s="32">
        <v>46076.0</v>
      </c>
      <c r="B64" s="33" t="s">
        <v>7</v>
      </c>
      <c r="C64" s="34" t="s">
        <v>89</v>
      </c>
      <c r="D64" s="35" t="s">
        <v>42</v>
      </c>
      <c r="E64" s="35"/>
      <c r="F64" s="35"/>
      <c r="G64" s="35"/>
      <c r="H64" s="36"/>
      <c r="I64" s="36"/>
      <c r="J64" s="36"/>
      <c r="K64" s="37" t="s">
        <v>50</v>
      </c>
      <c r="L64" s="35" t="s">
        <v>96</v>
      </c>
      <c r="M64" s="38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>
      <c r="A65" s="32">
        <v>46076.0</v>
      </c>
      <c r="B65" s="33" t="s">
        <v>7</v>
      </c>
      <c r="C65" s="34" t="s">
        <v>89</v>
      </c>
      <c r="D65" s="35" t="s">
        <v>44</v>
      </c>
      <c r="E65" s="35">
        <v>5.0</v>
      </c>
      <c r="F65" s="35">
        <v>3.0</v>
      </c>
      <c r="G65" s="35">
        <v>4.0</v>
      </c>
      <c r="H65" s="36">
        <v>2.0</v>
      </c>
      <c r="I65" s="36">
        <v>4.0</v>
      </c>
      <c r="J65" s="36">
        <v>3.7</v>
      </c>
      <c r="K65" s="37" t="s">
        <v>97</v>
      </c>
      <c r="L65" s="38"/>
      <c r="M65" s="38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>
      <c r="A66" s="32">
        <v>46076.0</v>
      </c>
      <c r="B66" s="33" t="s">
        <v>7</v>
      </c>
      <c r="C66" s="34" t="s">
        <v>89</v>
      </c>
      <c r="D66" s="35" t="s">
        <v>46</v>
      </c>
      <c r="E66" s="35"/>
      <c r="F66" s="35"/>
      <c r="G66" s="35"/>
      <c r="H66" s="36"/>
      <c r="I66" s="36"/>
      <c r="J66" s="36"/>
      <c r="K66" s="37" t="s">
        <v>50</v>
      </c>
      <c r="L66" s="35" t="s">
        <v>98</v>
      </c>
      <c r="M66" s="38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>
      <c r="A67" s="40"/>
      <c r="B67" s="43"/>
      <c r="C67" s="42"/>
      <c r="D67" s="43"/>
      <c r="E67" s="43"/>
      <c r="F67" s="43"/>
      <c r="G67" s="43"/>
      <c r="H67" s="44"/>
      <c r="I67" s="44"/>
      <c r="J67" s="44"/>
      <c r="K67" s="45"/>
      <c r="L67" s="46"/>
      <c r="M67" s="46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>
      <c r="A68" s="32">
        <v>46083.0</v>
      </c>
      <c r="B68" s="35" t="s">
        <v>8</v>
      </c>
      <c r="C68" s="34" t="s">
        <v>5</v>
      </c>
      <c r="D68" s="35" t="s">
        <v>12</v>
      </c>
      <c r="E68" s="35">
        <v>5.0</v>
      </c>
      <c r="F68" s="35">
        <v>2.0</v>
      </c>
      <c r="G68" s="35">
        <v>2.0</v>
      </c>
      <c r="H68" s="36">
        <v>4.0</v>
      </c>
      <c r="I68" s="36">
        <v>5.0</v>
      </c>
      <c r="J68" s="36">
        <v>3.7</v>
      </c>
      <c r="K68" s="37" t="s">
        <v>99</v>
      </c>
      <c r="L68" s="38"/>
      <c r="M68" s="38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>
      <c r="A69" s="32">
        <v>46083.0</v>
      </c>
      <c r="B69" s="35" t="s">
        <v>8</v>
      </c>
      <c r="C69" s="34" t="s">
        <v>5</v>
      </c>
      <c r="D69" s="35" t="s">
        <v>36</v>
      </c>
      <c r="E69" s="35">
        <v>5.0</v>
      </c>
      <c r="F69" s="35">
        <v>3.0</v>
      </c>
      <c r="G69" s="35">
        <v>5.0</v>
      </c>
      <c r="H69" s="36">
        <v>5.0</v>
      </c>
      <c r="I69" s="36">
        <v>5.0</v>
      </c>
      <c r="J69" s="36">
        <v>5.0</v>
      </c>
      <c r="K69" s="37" t="s">
        <v>100</v>
      </c>
      <c r="L69" s="38"/>
      <c r="M69" s="38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>
      <c r="A70" s="32">
        <v>46083.0</v>
      </c>
      <c r="B70" s="35" t="s">
        <v>8</v>
      </c>
      <c r="C70" s="34" t="s">
        <v>5</v>
      </c>
      <c r="D70" s="35" t="s">
        <v>11</v>
      </c>
      <c r="E70" s="35">
        <v>5.0</v>
      </c>
      <c r="F70" s="35">
        <v>4.0</v>
      </c>
      <c r="G70" s="35">
        <v>4.0</v>
      </c>
      <c r="H70" s="36">
        <v>4.0</v>
      </c>
      <c r="I70" s="36">
        <v>5.0</v>
      </c>
      <c r="J70" s="36">
        <v>4.3</v>
      </c>
      <c r="K70" s="37" t="s">
        <v>101</v>
      </c>
      <c r="L70" s="38"/>
      <c r="M70" s="38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>
      <c r="A71" s="32">
        <v>46083.0</v>
      </c>
      <c r="B71" s="35" t="s">
        <v>8</v>
      </c>
      <c r="C71" s="34" t="s">
        <v>5</v>
      </c>
      <c r="D71" s="35" t="s">
        <v>10</v>
      </c>
      <c r="E71" s="35">
        <v>5.0</v>
      </c>
      <c r="F71" s="35">
        <v>1.0</v>
      </c>
      <c r="G71" s="35">
        <v>5.0</v>
      </c>
      <c r="H71" s="36">
        <v>5.0</v>
      </c>
      <c r="I71" s="36">
        <v>5.0</v>
      </c>
      <c r="J71" s="36">
        <v>5.0</v>
      </c>
      <c r="K71" s="37" t="s">
        <v>102</v>
      </c>
      <c r="L71" s="38"/>
      <c r="M71" s="38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>
      <c r="A72" s="32">
        <v>46083.0</v>
      </c>
      <c r="B72" s="35" t="s">
        <v>8</v>
      </c>
      <c r="C72" s="34" t="s">
        <v>5</v>
      </c>
      <c r="D72" s="35" t="s">
        <v>39</v>
      </c>
      <c r="E72" s="35">
        <v>4.0</v>
      </c>
      <c r="F72" s="35">
        <v>4.0</v>
      </c>
      <c r="G72" s="35">
        <v>3.0</v>
      </c>
      <c r="H72" s="36">
        <v>4.0</v>
      </c>
      <c r="I72" s="36">
        <v>5.0</v>
      </c>
      <c r="J72" s="36">
        <v>3.7</v>
      </c>
      <c r="K72" s="37" t="s">
        <v>103</v>
      </c>
      <c r="L72" s="38"/>
      <c r="M72" s="38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>
      <c r="A73" s="32">
        <v>46083.0</v>
      </c>
      <c r="B73" s="35" t="s">
        <v>8</v>
      </c>
      <c r="C73" s="34" t="s">
        <v>5</v>
      </c>
      <c r="D73" s="35" t="s">
        <v>41</v>
      </c>
      <c r="E73" s="35">
        <v>5.0</v>
      </c>
      <c r="F73" s="35">
        <v>4.0</v>
      </c>
      <c r="G73" s="35">
        <v>3.0</v>
      </c>
      <c r="H73" s="36">
        <v>3.0</v>
      </c>
      <c r="I73" s="36">
        <v>5.0</v>
      </c>
      <c r="J73" s="36">
        <v>3.7</v>
      </c>
      <c r="K73" s="37" t="s">
        <v>104</v>
      </c>
      <c r="L73" s="38"/>
      <c r="M73" s="38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>
      <c r="A74" s="32">
        <v>46083.0</v>
      </c>
      <c r="B74" s="35" t="s">
        <v>8</v>
      </c>
      <c r="C74" s="34" t="s">
        <v>5</v>
      </c>
      <c r="D74" s="35" t="s">
        <v>42</v>
      </c>
      <c r="E74" s="35">
        <v>5.0</v>
      </c>
      <c r="F74" s="35">
        <v>4.0</v>
      </c>
      <c r="G74" s="35">
        <v>2.0</v>
      </c>
      <c r="H74" s="36">
        <v>4.0</v>
      </c>
      <c r="I74" s="36">
        <v>5.0</v>
      </c>
      <c r="J74" s="36">
        <v>3.7</v>
      </c>
      <c r="K74" s="37" t="s">
        <v>105</v>
      </c>
      <c r="L74" s="38"/>
      <c r="M74" s="38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>
      <c r="A75" s="32">
        <v>46083.0</v>
      </c>
      <c r="B75" s="35" t="s">
        <v>8</v>
      </c>
      <c r="C75" s="34" t="s">
        <v>5</v>
      </c>
      <c r="D75" s="35" t="s">
        <v>44</v>
      </c>
      <c r="E75" s="35">
        <v>5.0</v>
      </c>
      <c r="F75" s="35">
        <v>3.0</v>
      </c>
      <c r="G75" s="35">
        <v>3.0</v>
      </c>
      <c r="H75" s="36">
        <v>5.0</v>
      </c>
      <c r="I75" s="36">
        <v>5.0</v>
      </c>
      <c r="J75" s="36">
        <v>4.3</v>
      </c>
      <c r="K75" s="37" t="s">
        <v>106</v>
      </c>
      <c r="L75" s="38"/>
      <c r="M75" s="38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>
      <c r="A76" s="32">
        <v>46083.0</v>
      </c>
      <c r="B76" s="35" t="s">
        <v>8</v>
      </c>
      <c r="C76" s="34" t="s">
        <v>5</v>
      </c>
      <c r="D76" s="35" t="s">
        <v>46</v>
      </c>
      <c r="E76" s="35"/>
      <c r="F76" s="35"/>
      <c r="G76" s="35"/>
      <c r="H76" s="36"/>
      <c r="I76" s="36"/>
      <c r="J76" s="36"/>
      <c r="K76" s="37" t="s">
        <v>50</v>
      </c>
      <c r="L76" s="35" t="s">
        <v>107</v>
      </c>
      <c r="M76" s="38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>
      <c r="A77" s="32">
        <v>46083.0</v>
      </c>
      <c r="B77" s="35" t="s">
        <v>8</v>
      </c>
      <c r="C77" s="34" t="s">
        <v>108</v>
      </c>
      <c r="D77" s="35" t="s">
        <v>12</v>
      </c>
      <c r="E77" s="35">
        <v>5.0</v>
      </c>
      <c r="F77" s="35">
        <v>5.0</v>
      </c>
      <c r="G77" s="35">
        <v>2.0</v>
      </c>
      <c r="H77" s="36">
        <v>4.0</v>
      </c>
      <c r="I77" s="36">
        <v>5.0</v>
      </c>
      <c r="J77" s="36">
        <v>3.7</v>
      </c>
      <c r="K77" s="37" t="s">
        <v>109</v>
      </c>
      <c r="L77" s="38"/>
      <c r="M77" s="38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>
      <c r="A78" s="32">
        <v>46083.0</v>
      </c>
      <c r="B78" s="35" t="s">
        <v>8</v>
      </c>
      <c r="C78" s="34" t="s">
        <v>108</v>
      </c>
      <c r="D78" s="35" t="s">
        <v>36</v>
      </c>
      <c r="E78" s="35">
        <v>5.0</v>
      </c>
      <c r="F78" s="35">
        <v>3.0</v>
      </c>
      <c r="G78" s="35">
        <v>4.0</v>
      </c>
      <c r="H78" s="36">
        <v>4.0</v>
      </c>
      <c r="I78" s="36">
        <v>5.0</v>
      </c>
      <c r="J78" s="36">
        <v>4.3</v>
      </c>
      <c r="K78" s="37" t="s">
        <v>110</v>
      </c>
      <c r="L78" s="38"/>
      <c r="M78" s="38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>
      <c r="A79" s="32">
        <v>46083.0</v>
      </c>
      <c r="B79" s="35" t="s">
        <v>8</v>
      </c>
      <c r="C79" s="34" t="s">
        <v>108</v>
      </c>
      <c r="D79" s="35" t="s">
        <v>11</v>
      </c>
      <c r="E79" s="35">
        <v>5.0</v>
      </c>
      <c r="F79" s="35">
        <v>2.0</v>
      </c>
      <c r="G79" s="35">
        <v>5.0</v>
      </c>
      <c r="H79" s="36">
        <v>4.0</v>
      </c>
      <c r="I79" s="36">
        <v>5.0</v>
      </c>
      <c r="J79" s="36">
        <v>4.7</v>
      </c>
      <c r="K79" s="37" t="s">
        <v>111</v>
      </c>
      <c r="L79" s="38"/>
      <c r="M79" s="38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>
      <c r="A80" s="32">
        <v>46083.0</v>
      </c>
      <c r="B80" s="35" t="s">
        <v>8</v>
      </c>
      <c r="C80" s="34" t="s">
        <v>108</v>
      </c>
      <c r="D80" s="35" t="s">
        <v>10</v>
      </c>
      <c r="E80" s="35">
        <v>5.0</v>
      </c>
      <c r="F80" s="35">
        <v>3.0</v>
      </c>
      <c r="G80" s="35">
        <v>5.0</v>
      </c>
      <c r="H80" s="36">
        <v>5.0</v>
      </c>
      <c r="I80" s="36">
        <v>5.0</v>
      </c>
      <c r="J80" s="36">
        <v>5.0</v>
      </c>
      <c r="K80" s="37" t="s">
        <v>112</v>
      </c>
      <c r="L80" s="38"/>
      <c r="M80" s="38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>
      <c r="A81" s="32">
        <v>46083.0</v>
      </c>
      <c r="B81" s="35" t="s">
        <v>8</v>
      </c>
      <c r="C81" s="34" t="s">
        <v>108</v>
      </c>
      <c r="D81" s="35" t="s">
        <v>39</v>
      </c>
      <c r="E81" s="35">
        <v>5.0</v>
      </c>
      <c r="F81" s="35">
        <v>5.0</v>
      </c>
      <c r="G81" s="35">
        <v>4.0</v>
      </c>
      <c r="H81" s="36">
        <v>4.0</v>
      </c>
      <c r="I81" s="36">
        <v>5.0</v>
      </c>
      <c r="J81" s="36">
        <v>4.3</v>
      </c>
      <c r="K81" s="37" t="s">
        <v>113</v>
      </c>
      <c r="L81" s="38"/>
      <c r="M81" s="38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>
      <c r="A82" s="32">
        <v>46083.0</v>
      </c>
      <c r="B82" s="35" t="s">
        <v>8</v>
      </c>
      <c r="C82" s="34" t="s">
        <v>108</v>
      </c>
      <c r="D82" s="35" t="s">
        <v>41</v>
      </c>
      <c r="E82" s="35">
        <v>5.0</v>
      </c>
      <c r="F82" s="35">
        <v>4.0</v>
      </c>
      <c r="G82" s="35">
        <v>4.0</v>
      </c>
      <c r="H82" s="36">
        <v>2.0</v>
      </c>
      <c r="I82" s="36">
        <v>5.0</v>
      </c>
      <c r="J82" s="36">
        <v>3.7</v>
      </c>
      <c r="K82" s="37" t="s">
        <v>114</v>
      </c>
      <c r="L82" s="38"/>
      <c r="M82" s="38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>
      <c r="A83" s="32">
        <v>46083.0</v>
      </c>
      <c r="B83" s="35" t="s">
        <v>8</v>
      </c>
      <c r="C83" s="34" t="s">
        <v>108</v>
      </c>
      <c r="D83" s="35" t="s">
        <v>42</v>
      </c>
      <c r="E83" s="35">
        <v>5.0</v>
      </c>
      <c r="F83" s="35">
        <v>5.0</v>
      </c>
      <c r="G83" s="35">
        <v>4.0</v>
      </c>
      <c r="H83" s="36">
        <v>5.0</v>
      </c>
      <c r="I83" s="36">
        <v>5.0</v>
      </c>
      <c r="J83" s="36">
        <v>4.7</v>
      </c>
      <c r="K83" s="37" t="s">
        <v>115</v>
      </c>
      <c r="L83" s="38"/>
      <c r="M83" s="38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>
      <c r="A84" s="32">
        <v>46083.0</v>
      </c>
      <c r="B84" s="35" t="s">
        <v>8</v>
      </c>
      <c r="C84" s="34" t="s">
        <v>108</v>
      </c>
      <c r="D84" s="35" t="s">
        <v>44</v>
      </c>
      <c r="E84" s="35"/>
      <c r="F84" s="35"/>
      <c r="G84" s="35"/>
      <c r="H84" s="36"/>
      <c r="I84" s="36"/>
      <c r="J84" s="36"/>
      <c r="K84" s="37" t="s">
        <v>50</v>
      </c>
      <c r="L84" s="35" t="s">
        <v>116</v>
      </c>
      <c r="M84" s="38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>
      <c r="A85" s="32">
        <v>46083.0</v>
      </c>
      <c r="B85" s="35" t="s">
        <v>8</v>
      </c>
      <c r="C85" s="34" t="s">
        <v>108</v>
      </c>
      <c r="D85" s="35" t="s">
        <v>46</v>
      </c>
      <c r="E85" s="35">
        <v>3.0</v>
      </c>
      <c r="F85" s="35">
        <v>4.0</v>
      </c>
      <c r="G85" s="35">
        <v>5.0</v>
      </c>
      <c r="H85" s="36">
        <v>2.0</v>
      </c>
      <c r="I85" s="36">
        <v>4.0</v>
      </c>
      <c r="J85" s="36">
        <v>3.3</v>
      </c>
      <c r="K85" s="37" t="s">
        <v>117</v>
      </c>
      <c r="L85" s="38"/>
      <c r="M85" s="38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>
      <c r="A86" s="32">
        <v>46083.0</v>
      </c>
      <c r="B86" s="35" t="s">
        <v>8</v>
      </c>
      <c r="C86" s="34" t="s">
        <v>48</v>
      </c>
      <c r="D86" s="35" t="s">
        <v>12</v>
      </c>
      <c r="E86" s="35">
        <v>4.0</v>
      </c>
      <c r="F86" s="35">
        <v>2.0</v>
      </c>
      <c r="G86" s="35">
        <v>4.0</v>
      </c>
      <c r="H86" s="36">
        <v>5.0</v>
      </c>
      <c r="I86" s="36">
        <v>2.0</v>
      </c>
      <c r="J86" s="36">
        <v>4.3</v>
      </c>
      <c r="K86" s="37" t="s">
        <v>118</v>
      </c>
      <c r="L86" s="38"/>
      <c r="M86" s="38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>
      <c r="A87" s="32">
        <v>46083.0</v>
      </c>
      <c r="B87" s="35" t="s">
        <v>8</v>
      </c>
      <c r="C87" s="34" t="s">
        <v>48</v>
      </c>
      <c r="D87" s="35" t="s">
        <v>36</v>
      </c>
      <c r="E87" s="35">
        <v>5.0</v>
      </c>
      <c r="F87" s="35">
        <v>4.0</v>
      </c>
      <c r="G87" s="35">
        <v>5.0</v>
      </c>
      <c r="H87" s="36">
        <v>4.0</v>
      </c>
      <c r="I87" s="36">
        <v>5.0</v>
      </c>
      <c r="J87" s="36">
        <v>4.7</v>
      </c>
      <c r="K87" s="37" t="s">
        <v>119</v>
      </c>
      <c r="L87" s="38"/>
      <c r="M87" s="38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>
      <c r="A88" s="32">
        <v>46083.0</v>
      </c>
      <c r="B88" s="35" t="s">
        <v>8</v>
      </c>
      <c r="C88" s="34" t="s">
        <v>48</v>
      </c>
      <c r="D88" s="35" t="s">
        <v>11</v>
      </c>
      <c r="E88" s="35">
        <v>5.0</v>
      </c>
      <c r="F88" s="35">
        <v>5.0</v>
      </c>
      <c r="G88" s="35">
        <v>5.0</v>
      </c>
      <c r="H88" s="36">
        <v>4.0</v>
      </c>
      <c r="I88" s="36">
        <v>5.0</v>
      </c>
      <c r="J88" s="36">
        <v>4.7</v>
      </c>
      <c r="K88" s="37" t="s">
        <v>120</v>
      </c>
      <c r="L88" s="38"/>
      <c r="M88" s="38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>
      <c r="A89" s="32">
        <v>46083.0</v>
      </c>
      <c r="B89" s="35" t="s">
        <v>8</v>
      </c>
      <c r="C89" s="34" t="s">
        <v>48</v>
      </c>
      <c r="D89" s="35" t="s">
        <v>10</v>
      </c>
      <c r="E89" s="35">
        <v>5.0</v>
      </c>
      <c r="F89" s="35">
        <v>5.0</v>
      </c>
      <c r="G89" s="35">
        <v>4.0</v>
      </c>
      <c r="H89" s="36">
        <v>4.0</v>
      </c>
      <c r="I89" s="36">
        <v>5.0</v>
      </c>
      <c r="J89" s="36">
        <v>4.3</v>
      </c>
      <c r="K89" s="37" t="s">
        <v>121</v>
      </c>
      <c r="L89" s="38"/>
      <c r="M89" s="38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>
      <c r="A90" s="32">
        <v>46083.0</v>
      </c>
      <c r="B90" s="35" t="s">
        <v>8</v>
      </c>
      <c r="C90" s="34" t="s">
        <v>48</v>
      </c>
      <c r="D90" s="35" t="s">
        <v>39</v>
      </c>
      <c r="E90" s="35">
        <v>5.0</v>
      </c>
      <c r="F90" s="35">
        <v>5.0</v>
      </c>
      <c r="G90" s="35">
        <v>3.0</v>
      </c>
      <c r="H90" s="36">
        <v>5.0</v>
      </c>
      <c r="I90" s="36">
        <v>5.0</v>
      </c>
      <c r="J90" s="36">
        <v>4.3</v>
      </c>
      <c r="K90" s="37" t="s">
        <v>113</v>
      </c>
      <c r="L90" s="38"/>
      <c r="M90" s="38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>
      <c r="A91" s="32">
        <v>46083.0</v>
      </c>
      <c r="B91" s="35" t="s">
        <v>8</v>
      </c>
      <c r="C91" s="34" t="s">
        <v>48</v>
      </c>
      <c r="D91" s="35" t="s">
        <v>41</v>
      </c>
      <c r="E91" s="35"/>
      <c r="F91" s="35"/>
      <c r="G91" s="35"/>
      <c r="H91" s="36"/>
      <c r="I91" s="36"/>
      <c r="J91" s="36"/>
      <c r="K91" s="37" t="s">
        <v>50</v>
      </c>
      <c r="L91" s="35" t="s">
        <v>122</v>
      </c>
      <c r="M91" s="38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>
      <c r="A92" s="32">
        <v>46083.0</v>
      </c>
      <c r="B92" s="35" t="s">
        <v>8</v>
      </c>
      <c r="C92" s="34" t="s">
        <v>48</v>
      </c>
      <c r="D92" s="35" t="s">
        <v>42</v>
      </c>
      <c r="E92" s="35"/>
      <c r="F92" s="35"/>
      <c r="G92" s="35"/>
      <c r="H92" s="36"/>
      <c r="I92" s="36"/>
      <c r="J92" s="36"/>
      <c r="K92" s="37" t="s">
        <v>50</v>
      </c>
      <c r="L92" s="35" t="s">
        <v>123</v>
      </c>
      <c r="M92" s="38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>
      <c r="A93" s="32">
        <v>46083.0</v>
      </c>
      <c r="B93" s="35" t="s">
        <v>8</v>
      </c>
      <c r="C93" s="34" t="s">
        <v>48</v>
      </c>
      <c r="D93" s="35" t="s">
        <v>44</v>
      </c>
      <c r="E93" s="35">
        <v>2.0</v>
      </c>
      <c r="F93" s="35">
        <v>3.0</v>
      </c>
      <c r="G93" s="35">
        <v>4.0</v>
      </c>
      <c r="H93" s="36">
        <v>3.0</v>
      </c>
      <c r="I93" s="36">
        <v>3.0</v>
      </c>
      <c r="J93" s="36">
        <v>3.0</v>
      </c>
      <c r="K93" s="37" t="s">
        <v>124</v>
      </c>
      <c r="L93" s="38"/>
      <c r="M93" s="38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>
      <c r="A94" s="32">
        <v>46083.0</v>
      </c>
      <c r="B94" s="35" t="s">
        <v>8</v>
      </c>
      <c r="C94" s="34" t="s">
        <v>48</v>
      </c>
      <c r="D94" s="35" t="s">
        <v>46</v>
      </c>
      <c r="E94" s="35">
        <v>2.0</v>
      </c>
      <c r="F94" s="35">
        <v>3.0</v>
      </c>
      <c r="G94" s="35">
        <v>2.0</v>
      </c>
      <c r="H94" s="36">
        <v>1.0</v>
      </c>
      <c r="I94" s="36">
        <v>2.0</v>
      </c>
      <c r="J94" s="36">
        <v>1.7</v>
      </c>
      <c r="K94" s="37" t="s">
        <v>125</v>
      </c>
      <c r="L94" s="38"/>
      <c r="M94" s="38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>
      <c r="A95" s="32">
        <v>46083.0</v>
      </c>
      <c r="B95" s="35" t="s">
        <v>8</v>
      </c>
      <c r="C95" s="34" t="s">
        <v>126</v>
      </c>
      <c r="D95" s="35" t="s">
        <v>12</v>
      </c>
      <c r="E95" s="35">
        <v>4.0</v>
      </c>
      <c r="F95" s="35">
        <v>2.0</v>
      </c>
      <c r="G95" s="35">
        <v>3.0</v>
      </c>
      <c r="H95" s="36">
        <v>5.0</v>
      </c>
      <c r="I95" s="36">
        <v>2.0</v>
      </c>
      <c r="J95" s="36">
        <v>4.0</v>
      </c>
      <c r="K95" s="37" t="s">
        <v>127</v>
      </c>
      <c r="L95" s="38"/>
      <c r="M95" s="38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>
      <c r="A96" s="32">
        <v>46083.0</v>
      </c>
      <c r="B96" s="35" t="s">
        <v>8</v>
      </c>
      <c r="C96" s="34" t="s">
        <v>126</v>
      </c>
      <c r="D96" s="35" t="s">
        <v>36</v>
      </c>
      <c r="E96" s="35">
        <v>5.0</v>
      </c>
      <c r="F96" s="35">
        <v>5.0</v>
      </c>
      <c r="G96" s="35">
        <v>2.0</v>
      </c>
      <c r="H96" s="36">
        <v>4.0</v>
      </c>
      <c r="I96" s="36">
        <v>3.0</v>
      </c>
      <c r="J96" s="36">
        <v>3.7</v>
      </c>
      <c r="K96" s="37" t="s">
        <v>128</v>
      </c>
      <c r="L96" s="38"/>
      <c r="M96" s="38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>
      <c r="A97" s="32">
        <v>46083.0</v>
      </c>
      <c r="B97" s="35" t="s">
        <v>8</v>
      </c>
      <c r="C97" s="34" t="s">
        <v>126</v>
      </c>
      <c r="D97" s="35" t="s">
        <v>11</v>
      </c>
      <c r="E97" s="35">
        <v>5.0</v>
      </c>
      <c r="F97" s="35">
        <v>4.0</v>
      </c>
      <c r="G97" s="35">
        <v>3.0</v>
      </c>
      <c r="H97" s="36">
        <v>3.0</v>
      </c>
      <c r="I97" s="36">
        <v>5.0</v>
      </c>
      <c r="J97" s="36">
        <v>3.7</v>
      </c>
      <c r="K97" s="37" t="s">
        <v>129</v>
      </c>
      <c r="L97" s="38"/>
      <c r="M97" s="38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>
      <c r="A98" s="32">
        <v>46083.0</v>
      </c>
      <c r="B98" s="35" t="s">
        <v>8</v>
      </c>
      <c r="C98" s="34" t="s">
        <v>126</v>
      </c>
      <c r="D98" s="35" t="s">
        <v>10</v>
      </c>
      <c r="E98" s="35">
        <v>5.0</v>
      </c>
      <c r="F98" s="35">
        <v>5.0</v>
      </c>
      <c r="G98" s="35">
        <v>4.0</v>
      </c>
      <c r="H98" s="36">
        <v>5.0</v>
      </c>
      <c r="I98" s="36">
        <v>5.0</v>
      </c>
      <c r="J98" s="36">
        <v>4.7</v>
      </c>
      <c r="K98" s="37"/>
      <c r="L98" s="38"/>
      <c r="M98" s="38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>
      <c r="A99" s="32">
        <v>46083.0</v>
      </c>
      <c r="B99" s="35" t="s">
        <v>8</v>
      </c>
      <c r="C99" s="34" t="s">
        <v>126</v>
      </c>
      <c r="D99" s="35" t="s">
        <v>39</v>
      </c>
      <c r="E99" s="49">
        <v>5.0</v>
      </c>
      <c r="F99" s="49">
        <v>5.0</v>
      </c>
      <c r="G99" s="35">
        <v>3.0</v>
      </c>
      <c r="H99" s="36">
        <v>4.0</v>
      </c>
      <c r="I99" s="36">
        <v>5.0</v>
      </c>
      <c r="J99" s="36">
        <v>4.0</v>
      </c>
      <c r="K99" s="37" t="s">
        <v>130</v>
      </c>
      <c r="L99" s="38"/>
      <c r="M99" s="38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>
      <c r="A100" s="32">
        <v>46083.0</v>
      </c>
      <c r="B100" s="35" t="s">
        <v>8</v>
      </c>
      <c r="C100" s="34" t="s">
        <v>126</v>
      </c>
      <c r="D100" s="35" t="s">
        <v>41</v>
      </c>
      <c r="E100" s="50"/>
      <c r="F100" s="50"/>
      <c r="G100" s="35"/>
      <c r="H100" s="36"/>
      <c r="I100" s="36"/>
      <c r="J100" s="36"/>
      <c r="K100" s="37" t="s">
        <v>50</v>
      </c>
      <c r="L100" s="35" t="s">
        <v>131</v>
      </c>
      <c r="M100" s="38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>
      <c r="A101" s="32">
        <v>46083.0</v>
      </c>
      <c r="B101" s="35" t="s">
        <v>8</v>
      </c>
      <c r="C101" s="34" t="s">
        <v>126</v>
      </c>
      <c r="D101" s="35" t="s">
        <v>42</v>
      </c>
      <c r="E101" s="35">
        <v>5.0</v>
      </c>
      <c r="F101" s="35">
        <v>5.0</v>
      </c>
      <c r="G101" s="35">
        <v>5.0</v>
      </c>
      <c r="H101" s="36">
        <v>3.0</v>
      </c>
      <c r="I101" s="36">
        <v>5.0</v>
      </c>
      <c r="J101" s="36">
        <v>4.3</v>
      </c>
      <c r="K101" s="37" t="s">
        <v>84</v>
      </c>
      <c r="L101" s="38"/>
      <c r="M101" s="38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>
      <c r="A102" s="32">
        <v>46083.0</v>
      </c>
      <c r="B102" s="35" t="s">
        <v>8</v>
      </c>
      <c r="C102" s="34" t="s">
        <v>126</v>
      </c>
      <c r="D102" s="35" t="s">
        <v>44</v>
      </c>
      <c r="E102" s="35">
        <v>5.0</v>
      </c>
      <c r="F102" s="35">
        <v>4.0</v>
      </c>
      <c r="G102" s="35">
        <v>5.0</v>
      </c>
      <c r="H102" s="36">
        <v>2.0</v>
      </c>
      <c r="I102" s="36">
        <v>5.0</v>
      </c>
      <c r="J102" s="36">
        <v>4.0</v>
      </c>
      <c r="K102" s="37" t="s">
        <v>132</v>
      </c>
      <c r="L102" s="38"/>
      <c r="M102" s="38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>
      <c r="A103" s="32">
        <v>46083.0</v>
      </c>
      <c r="B103" s="35" t="s">
        <v>8</v>
      </c>
      <c r="C103" s="34" t="s">
        <v>126</v>
      </c>
      <c r="D103" s="35" t="s">
        <v>46</v>
      </c>
      <c r="E103" s="35">
        <v>2.0</v>
      </c>
      <c r="F103" s="35">
        <v>3.0</v>
      </c>
      <c r="G103" s="35">
        <v>2.0</v>
      </c>
      <c r="H103" s="36">
        <v>1.0</v>
      </c>
      <c r="I103" s="36">
        <v>2.0</v>
      </c>
      <c r="J103" s="36">
        <v>1.7</v>
      </c>
      <c r="K103" s="37" t="s">
        <v>125</v>
      </c>
      <c r="L103" s="38"/>
      <c r="M103" s="38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>
      <c r="A104" s="32">
        <v>46083.0</v>
      </c>
      <c r="B104" s="51" t="s">
        <v>8</v>
      </c>
      <c r="C104" s="34" t="s">
        <v>88</v>
      </c>
      <c r="D104" s="35" t="s">
        <v>12</v>
      </c>
      <c r="E104" s="35"/>
      <c r="F104" s="35"/>
      <c r="G104" s="35"/>
      <c r="H104" s="36"/>
      <c r="I104" s="36"/>
      <c r="J104" s="36"/>
      <c r="K104" s="37" t="s">
        <v>50</v>
      </c>
      <c r="L104" s="35" t="s">
        <v>51</v>
      </c>
      <c r="M104" s="38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>
      <c r="A105" s="32">
        <v>46083.0</v>
      </c>
      <c r="B105" s="51" t="s">
        <v>8</v>
      </c>
      <c r="C105" s="34" t="s">
        <v>88</v>
      </c>
      <c r="D105" s="35" t="s">
        <v>36</v>
      </c>
      <c r="E105" s="35"/>
      <c r="F105" s="35"/>
      <c r="G105" s="35"/>
      <c r="H105" s="36"/>
      <c r="I105" s="36"/>
      <c r="J105" s="36"/>
      <c r="K105" s="37" t="s">
        <v>50</v>
      </c>
      <c r="L105" s="35" t="s">
        <v>51</v>
      </c>
      <c r="M105" s="38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>
      <c r="A106" s="32">
        <v>46083.0</v>
      </c>
      <c r="B106" s="51" t="s">
        <v>8</v>
      </c>
      <c r="C106" s="34" t="s">
        <v>88</v>
      </c>
      <c r="D106" s="35" t="s">
        <v>11</v>
      </c>
      <c r="E106" s="35"/>
      <c r="F106" s="35"/>
      <c r="G106" s="35"/>
      <c r="H106" s="36"/>
      <c r="I106" s="36"/>
      <c r="J106" s="36"/>
      <c r="K106" s="37" t="s">
        <v>50</v>
      </c>
      <c r="L106" s="35" t="s">
        <v>51</v>
      </c>
      <c r="M106" s="38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>
      <c r="A107" s="32">
        <v>46083.0</v>
      </c>
      <c r="B107" s="51" t="s">
        <v>8</v>
      </c>
      <c r="C107" s="34" t="s">
        <v>88</v>
      </c>
      <c r="D107" s="35" t="s">
        <v>10</v>
      </c>
      <c r="E107" s="35"/>
      <c r="F107" s="35"/>
      <c r="G107" s="35"/>
      <c r="H107" s="36"/>
      <c r="I107" s="36"/>
      <c r="J107" s="36"/>
      <c r="K107" s="37" t="s">
        <v>50</v>
      </c>
      <c r="L107" s="35" t="s">
        <v>51</v>
      </c>
      <c r="M107" s="38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>
      <c r="A108" s="32">
        <v>46083.0</v>
      </c>
      <c r="B108" s="51" t="s">
        <v>8</v>
      </c>
      <c r="C108" s="34" t="s">
        <v>88</v>
      </c>
      <c r="D108" s="35" t="s">
        <v>39</v>
      </c>
      <c r="E108" s="35"/>
      <c r="F108" s="35"/>
      <c r="G108" s="35"/>
      <c r="H108" s="36"/>
      <c r="I108" s="36"/>
      <c r="J108" s="36"/>
      <c r="K108" s="37" t="s">
        <v>50</v>
      </c>
      <c r="L108" s="35" t="s">
        <v>51</v>
      </c>
      <c r="M108" s="38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>
      <c r="A109" s="32">
        <v>46083.0</v>
      </c>
      <c r="B109" s="51" t="s">
        <v>8</v>
      </c>
      <c r="C109" s="34" t="s">
        <v>88</v>
      </c>
      <c r="D109" s="35" t="s">
        <v>41</v>
      </c>
      <c r="E109" s="35"/>
      <c r="F109" s="35"/>
      <c r="G109" s="35"/>
      <c r="H109" s="36"/>
      <c r="I109" s="36"/>
      <c r="J109" s="36"/>
      <c r="K109" s="37" t="s">
        <v>50</v>
      </c>
      <c r="L109" s="35" t="s">
        <v>51</v>
      </c>
      <c r="M109" s="38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>
      <c r="A110" s="32">
        <v>46083.0</v>
      </c>
      <c r="B110" s="51" t="s">
        <v>8</v>
      </c>
      <c r="C110" s="34" t="s">
        <v>88</v>
      </c>
      <c r="D110" s="35" t="s">
        <v>42</v>
      </c>
      <c r="E110" s="35"/>
      <c r="F110" s="35"/>
      <c r="G110" s="35"/>
      <c r="H110" s="36"/>
      <c r="I110" s="36"/>
      <c r="J110" s="36"/>
      <c r="K110" s="37" t="s">
        <v>50</v>
      </c>
      <c r="L110" s="35" t="s">
        <v>51</v>
      </c>
      <c r="M110" s="38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>
      <c r="A111" s="32">
        <v>46083.0</v>
      </c>
      <c r="B111" s="51" t="s">
        <v>8</v>
      </c>
      <c r="C111" s="34" t="s">
        <v>88</v>
      </c>
      <c r="D111" s="35" t="s">
        <v>44</v>
      </c>
      <c r="E111" s="35"/>
      <c r="F111" s="35"/>
      <c r="G111" s="35"/>
      <c r="H111" s="36"/>
      <c r="I111" s="36"/>
      <c r="J111" s="36"/>
      <c r="K111" s="37" t="s">
        <v>50</v>
      </c>
      <c r="L111" s="35" t="s">
        <v>51</v>
      </c>
      <c r="M111" s="38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>
      <c r="A112" s="32">
        <v>46083.0</v>
      </c>
      <c r="B112" s="51" t="s">
        <v>8</v>
      </c>
      <c r="C112" s="34" t="s">
        <v>88</v>
      </c>
      <c r="D112" s="35" t="s">
        <v>46</v>
      </c>
      <c r="E112" s="35"/>
      <c r="F112" s="35"/>
      <c r="G112" s="35"/>
      <c r="H112" s="36"/>
      <c r="I112" s="36"/>
      <c r="J112" s="36"/>
      <c r="K112" s="37" t="s">
        <v>50</v>
      </c>
      <c r="L112" s="35" t="s">
        <v>51</v>
      </c>
      <c r="M112" s="38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>
      <c r="A113" s="32">
        <v>46083.0</v>
      </c>
      <c r="B113" s="51" t="s">
        <v>8</v>
      </c>
      <c r="C113" s="34" t="s">
        <v>89</v>
      </c>
      <c r="D113" s="35" t="s">
        <v>12</v>
      </c>
      <c r="E113" s="35">
        <v>4.0</v>
      </c>
      <c r="F113" s="35">
        <v>2.0</v>
      </c>
      <c r="G113" s="35">
        <v>3.0</v>
      </c>
      <c r="H113" s="36">
        <v>3.0</v>
      </c>
      <c r="I113" s="36">
        <v>4.0</v>
      </c>
      <c r="J113" s="36">
        <v>3.3</v>
      </c>
      <c r="K113" s="37" t="s">
        <v>133</v>
      </c>
      <c r="L113" s="38"/>
      <c r="M113" s="38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>
      <c r="A114" s="32">
        <v>46083.0</v>
      </c>
      <c r="B114" s="51" t="s">
        <v>8</v>
      </c>
      <c r="C114" s="34" t="s">
        <v>89</v>
      </c>
      <c r="D114" s="35" t="s">
        <v>36</v>
      </c>
      <c r="E114" s="35">
        <v>5.0</v>
      </c>
      <c r="F114" s="35">
        <v>3.0</v>
      </c>
      <c r="G114" s="35">
        <v>5.0</v>
      </c>
      <c r="H114" s="36">
        <v>5.0</v>
      </c>
      <c r="I114" s="36">
        <v>5.0</v>
      </c>
      <c r="J114" s="36">
        <v>5.0</v>
      </c>
      <c r="K114" s="37" t="s">
        <v>134</v>
      </c>
      <c r="L114" s="38"/>
      <c r="M114" s="38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>
      <c r="A115" s="32">
        <v>46083.0</v>
      </c>
      <c r="B115" s="51" t="s">
        <v>8</v>
      </c>
      <c r="C115" s="34" t="s">
        <v>89</v>
      </c>
      <c r="D115" s="35" t="s">
        <v>11</v>
      </c>
      <c r="E115" s="35">
        <v>5.0</v>
      </c>
      <c r="F115" s="35">
        <v>4.0</v>
      </c>
      <c r="G115" s="35">
        <v>3.0</v>
      </c>
      <c r="H115" s="36">
        <v>3.0</v>
      </c>
      <c r="I115" s="36">
        <v>5.0</v>
      </c>
      <c r="J115" s="36">
        <v>3.7</v>
      </c>
      <c r="K115" s="37" t="s">
        <v>135</v>
      </c>
      <c r="L115" s="38"/>
      <c r="M115" s="38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>
      <c r="A116" s="32">
        <v>46083.0</v>
      </c>
      <c r="B116" s="51" t="s">
        <v>8</v>
      </c>
      <c r="C116" s="34" t="s">
        <v>89</v>
      </c>
      <c r="D116" s="35" t="s">
        <v>10</v>
      </c>
      <c r="E116" s="35">
        <v>4.0</v>
      </c>
      <c r="F116" s="35">
        <v>2.0</v>
      </c>
      <c r="G116" s="35">
        <v>3.0</v>
      </c>
      <c r="H116" s="36">
        <v>3.0</v>
      </c>
      <c r="I116" s="36">
        <v>5.0</v>
      </c>
      <c r="J116" s="36">
        <v>3.3</v>
      </c>
      <c r="K116" s="37" t="s">
        <v>136</v>
      </c>
      <c r="L116" s="38"/>
      <c r="M116" s="38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>
      <c r="A117" s="32">
        <v>46083.0</v>
      </c>
      <c r="B117" s="51" t="s">
        <v>8</v>
      </c>
      <c r="C117" s="34" t="s">
        <v>89</v>
      </c>
      <c r="D117" s="35" t="s">
        <v>39</v>
      </c>
      <c r="E117" s="35">
        <v>3.0</v>
      </c>
      <c r="F117" s="35">
        <v>3.0</v>
      </c>
      <c r="G117" s="35">
        <v>4.0</v>
      </c>
      <c r="H117" s="36">
        <v>3.0</v>
      </c>
      <c r="I117" s="36">
        <v>5.0</v>
      </c>
      <c r="J117" s="36">
        <v>3.3</v>
      </c>
      <c r="K117" s="37" t="s">
        <v>137</v>
      </c>
      <c r="L117" s="38"/>
      <c r="M117" s="38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>
      <c r="A118" s="32">
        <v>46083.0</v>
      </c>
      <c r="B118" s="51" t="s">
        <v>8</v>
      </c>
      <c r="C118" s="34" t="s">
        <v>89</v>
      </c>
      <c r="D118" s="35" t="s">
        <v>41</v>
      </c>
      <c r="E118" s="35">
        <v>5.0</v>
      </c>
      <c r="F118" s="35">
        <v>3.0</v>
      </c>
      <c r="G118" s="35">
        <v>4.0</v>
      </c>
      <c r="H118" s="36">
        <v>1.0</v>
      </c>
      <c r="I118" s="36">
        <v>5.0</v>
      </c>
      <c r="J118" s="36">
        <v>3.3</v>
      </c>
      <c r="K118" s="37" t="s">
        <v>138</v>
      </c>
      <c r="L118" s="38"/>
      <c r="M118" s="38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>
      <c r="A119" s="32">
        <v>46083.0</v>
      </c>
      <c r="B119" s="51" t="s">
        <v>8</v>
      </c>
      <c r="C119" s="34" t="s">
        <v>89</v>
      </c>
      <c r="D119" s="35" t="s">
        <v>42</v>
      </c>
      <c r="E119" s="35">
        <v>5.0</v>
      </c>
      <c r="F119" s="35">
        <v>4.0</v>
      </c>
      <c r="G119" s="35">
        <v>3.0</v>
      </c>
      <c r="H119" s="36">
        <v>2.0</v>
      </c>
      <c r="I119" s="36">
        <v>3.0</v>
      </c>
      <c r="J119" s="36">
        <v>3.3</v>
      </c>
      <c r="K119" s="37" t="s">
        <v>139</v>
      </c>
      <c r="L119" s="38"/>
      <c r="M119" s="38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>
      <c r="A120" s="32">
        <v>46083.0</v>
      </c>
      <c r="B120" s="51" t="s">
        <v>8</v>
      </c>
      <c r="C120" s="34" t="s">
        <v>89</v>
      </c>
      <c r="D120" s="35" t="s">
        <v>44</v>
      </c>
      <c r="E120" s="35">
        <v>2.0</v>
      </c>
      <c r="F120" s="35">
        <v>3.0</v>
      </c>
      <c r="G120" s="35">
        <v>4.0</v>
      </c>
      <c r="H120" s="36">
        <v>2.0</v>
      </c>
      <c r="I120" s="36">
        <v>3.0</v>
      </c>
      <c r="J120" s="36">
        <v>2.7</v>
      </c>
      <c r="K120" s="37" t="s">
        <v>140</v>
      </c>
      <c r="L120" s="38"/>
      <c r="M120" s="38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>
      <c r="A121" s="32">
        <v>46083.0</v>
      </c>
      <c r="B121" s="52" t="s">
        <v>8</v>
      </c>
      <c r="C121" s="34" t="s">
        <v>89</v>
      </c>
      <c r="D121" s="35" t="s">
        <v>46</v>
      </c>
      <c r="E121" s="35"/>
      <c r="F121" s="35"/>
      <c r="G121" s="35"/>
      <c r="H121" s="36"/>
      <c r="I121" s="36"/>
      <c r="J121" s="36"/>
      <c r="K121" s="37" t="s">
        <v>50</v>
      </c>
      <c r="L121" s="35" t="s">
        <v>141</v>
      </c>
      <c r="M121" s="38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>
      <c r="A122" s="53"/>
      <c r="B122" s="54"/>
      <c r="C122" s="42"/>
      <c r="D122" s="43"/>
      <c r="E122" s="43"/>
      <c r="F122" s="43"/>
      <c r="G122" s="43"/>
      <c r="H122" s="44"/>
      <c r="I122" s="44"/>
      <c r="J122" s="44"/>
      <c r="K122" s="45"/>
      <c r="L122" s="43"/>
      <c r="M122" s="46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>
      <c r="A123" s="55">
        <v>46090.0</v>
      </c>
      <c r="B123" s="56" t="s">
        <v>142</v>
      </c>
      <c r="C123" s="34" t="s">
        <v>48</v>
      </c>
      <c r="D123" s="35" t="s">
        <v>12</v>
      </c>
      <c r="E123" s="35">
        <v>4.0</v>
      </c>
      <c r="F123" s="35">
        <v>4.0</v>
      </c>
      <c r="G123" s="35">
        <v>3.0</v>
      </c>
      <c r="H123" s="36">
        <v>3.0</v>
      </c>
      <c r="I123" s="36">
        <v>3.0</v>
      </c>
      <c r="J123" s="36">
        <v>3.3</v>
      </c>
      <c r="K123" s="37" t="s">
        <v>143</v>
      </c>
      <c r="L123" s="35"/>
      <c r="M123" s="38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>
      <c r="A124" s="55">
        <v>46090.0</v>
      </c>
      <c r="B124" s="56" t="s">
        <v>142</v>
      </c>
      <c r="C124" s="34" t="s">
        <v>48</v>
      </c>
      <c r="D124" s="35" t="s">
        <v>36</v>
      </c>
      <c r="E124" s="35">
        <v>1.0</v>
      </c>
      <c r="F124" s="35">
        <v>4.0</v>
      </c>
      <c r="G124" s="35">
        <v>1.0</v>
      </c>
      <c r="H124" s="36">
        <v>1.0</v>
      </c>
      <c r="I124" s="36">
        <v>1.0</v>
      </c>
      <c r="J124" s="36">
        <v>1.0</v>
      </c>
      <c r="K124" s="37" t="s">
        <v>144</v>
      </c>
      <c r="L124" s="35"/>
      <c r="M124" s="38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>
      <c r="A125" s="55">
        <v>46090.0</v>
      </c>
      <c r="B125" s="56" t="s">
        <v>142</v>
      </c>
      <c r="C125" s="34" t="s">
        <v>48</v>
      </c>
      <c r="D125" s="35" t="s">
        <v>11</v>
      </c>
      <c r="E125" s="35">
        <v>5.0</v>
      </c>
      <c r="F125" s="35">
        <v>3.0</v>
      </c>
      <c r="G125" s="35">
        <v>5.0</v>
      </c>
      <c r="H125" s="36">
        <v>3.0</v>
      </c>
      <c r="I125" s="36">
        <v>3.0</v>
      </c>
      <c r="J125" s="36">
        <v>4.3</v>
      </c>
      <c r="K125" s="37" t="s">
        <v>145</v>
      </c>
      <c r="L125" s="35"/>
      <c r="M125" s="38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>
      <c r="A126" s="55">
        <v>46090.0</v>
      </c>
      <c r="B126" s="56" t="s">
        <v>142</v>
      </c>
      <c r="C126" s="34" t="s">
        <v>48</v>
      </c>
      <c r="D126" s="35" t="s">
        <v>10</v>
      </c>
      <c r="E126" s="35">
        <v>5.0</v>
      </c>
      <c r="F126" s="35">
        <v>5.0</v>
      </c>
      <c r="G126" s="35">
        <v>3.0</v>
      </c>
      <c r="H126" s="36">
        <v>5.0</v>
      </c>
      <c r="I126" s="36">
        <v>5.0</v>
      </c>
      <c r="J126" s="36">
        <v>4.3</v>
      </c>
      <c r="K126" s="37" t="s">
        <v>37</v>
      </c>
      <c r="L126" s="35"/>
      <c r="M126" s="38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>
      <c r="A127" s="55">
        <v>46090.0</v>
      </c>
      <c r="B127" s="56" t="s">
        <v>142</v>
      </c>
      <c r="C127" s="34" t="s">
        <v>48</v>
      </c>
      <c r="D127" s="35" t="s">
        <v>39</v>
      </c>
      <c r="E127" s="35">
        <v>5.0</v>
      </c>
      <c r="F127" s="35">
        <v>5.0</v>
      </c>
      <c r="G127" s="35">
        <v>3.0</v>
      </c>
      <c r="H127" s="36">
        <v>4.0</v>
      </c>
      <c r="I127" s="36">
        <v>3.0</v>
      </c>
      <c r="J127" s="36">
        <v>4.0</v>
      </c>
      <c r="K127" s="37" t="s">
        <v>146</v>
      </c>
      <c r="L127" s="35"/>
      <c r="M127" s="38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>
      <c r="A128" s="55">
        <v>46090.0</v>
      </c>
      <c r="B128" s="56" t="s">
        <v>142</v>
      </c>
      <c r="C128" s="34" t="s">
        <v>48</v>
      </c>
      <c r="D128" s="35" t="s">
        <v>41</v>
      </c>
      <c r="E128" s="35">
        <v>5.0</v>
      </c>
      <c r="F128" s="35">
        <v>5.0</v>
      </c>
      <c r="G128" s="35">
        <v>4.0</v>
      </c>
      <c r="H128" s="36">
        <v>2.0</v>
      </c>
      <c r="I128" s="36">
        <v>5.0</v>
      </c>
      <c r="J128" s="36">
        <v>3.7</v>
      </c>
      <c r="K128" s="37" t="s">
        <v>147</v>
      </c>
      <c r="L128" s="35"/>
      <c r="M128" s="38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>
      <c r="A129" s="55">
        <v>46090.0</v>
      </c>
      <c r="B129" s="56" t="s">
        <v>142</v>
      </c>
      <c r="C129" s="34" t="s">
        <v>48</v>
      </c>
      <c r="D129" s="35" t="s">
        <v>42</v>
      </c>
      <c r="E129" s="35">
        <v>5.0</v>
      </c>
      <c r="F129" s="35">
        <v>4.0</v>
      </c>
      <c r="G129" s="35">
        <v>5.0</v>
      </c>
      <c r="H129" s="36">
        <v>1.0</v>
      </c>
      <c r="I129" s="36">
        <v>3.0</v>
      </c>
      <c r="J129" s="36">
        <v>3.7</v>
      </c>
      <c r="K129" s="37"/>
      <c r="L129" s="35"/>
      <c r="M129" s="38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>
      <c r="A130" s="55">
        <v>46090.0</v>
      </c>
      <c r="B130" s="56" t="s">
        <v>142</v>
      </c>
      <c r="C130" s="34" t="s">
        <v>48</v>
      </c>
      <c r="D130" s="35" t="s">
        <v>44</v>
      </c>
      <c r="E130" s="35">
        <v>4.0</v>
      </c>
      <c r="F130" s="35">
        <v>3.0</v>
      </c>
      <c r="G130" s="35">
        <v>5.0</v>
      </c>
      <c r="H130" s="36">
        <v>1.0</v>
      </c>
      <c r="I130" s="36">
        <v>3.0</v>
      </c>
      <c r="J130" s="36">
        <v>3.3</v>
      </c>
      <c r="K130" s="37" t="s">
        <v>148</v>
      </c>
      <c r="L130" s="35"/>
      <c r="M130" s="38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>
      <c r="A131" s="55">
        <v>46090.0</v>
      </c>
      <c r="B131" s="56" t="s">
        <v>142</v>
      </c>
      <c r="C131" s="34" t="s">
        <v>48</v>
      </c>
      <c r="D131" s="35" t="s">
        <v>46</v>
      </c>
      <c r="E131" s="35">
        <v>5.0</v>
      </c>
      <c r="F131" s="35">
        <v>5.0</v>
      </c>
      <c r="G131" s="35">
        <v>4.0</v>
      </c>
      <c r="H131" s="36">
        <v>4.0</v>
      </c>
      <c r="I131" s="36">
        <v>5.0</v>
      </c>
      <c r="J131" s="36">
        <v>4.3</v>
      </c>
      <c r="K131" s="37" t="s">
        <v>120</v>
      </c>
      <c r="L131" s="35"/>
      <c r="M131" s="38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>
      <c r="A132" s="55">
        <v>46090.0</v>
      </c>
      <c r="B132" s="56" t="s">
        <v>142</v>
      </c>
      <c r="C132" s="34" t="s">
        <v>88</v>
      </c>
      <c r="D132" s="35" t="s">
        <v>12</v>
      </c>
      <c r="E132" s="35">
        <v>5.0</v>
      </c>
      <c r="F132" s="35">
        <v>5.0</v>
      </c>
      <c r="G132" s="35">
        <v>3.0</v>
      </c>
      <c r="H132" s="36">
        <v>5.0</v>
      </c>
      <c r="I132" s="36">
        <v>4.0</v>
      </c>
      <c r="J132" s="36">
        <v>4.3</v>
      </c>
      <c r="K132" s="37" t="s">
        <v>37</v>
      </c>
      <c r="L132" s="35"/>
      <c r="M132" s="38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>
      <c r="A133" s="55">
        <v>46090.0</v>
      </c>
      <c r="B133" s="56" t="s">
        <v>142</v>
      </c>
      <c r="C133" s="34" t="s">
        <v>88</v>
      </c>
      <c r="D133" s="35" t="s">
        <v>36</v>
      </c>
      <c r="E133" s="35">
        <v>5.0</v>
      </c>
      <c r="F133" s="35">
        <v>4.0</v>
      </c>
      <c r="G133" s="35">
        <v>5.0</v>
      </c>
      <c r="H133" s="36">
        <v>5.0</v>
      </c>
      <c r="I133" s="36">
        <v>5.0</v>
      </c>
      <c r="J133" s="36">
        <v>5.0</v>
      </c>
      <c r="K133" s="37" t="s">
        <v>100</v>
      </c>
      <c r="L133" s="35"/>
      <c r="M133" s="38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>
      <c r="A134" s="55">
        <v>46090.0</v>
      </c>
      <c r="B134" s="56" t="s">
        <v>142</v>
      </c>
      <c r="C134" s="34" t="s">
        <v>88</v>
      </c>
      <c r="D134" s="35" t="s">
        <v>11</v>
      </c>
      <c r="E134" s="35">
        <v>5.0</v>
      </c>
      <c r="F134" s="35">
        <v>3.0</v>
      </c>
      <c r="G134" s="35">
        <v>4.0</v>
      </c>
      <c r="H134" s="36">
        <v>3.0</v>
      </c>
      <c r="I134" s="36">
        <v>2.0</v>
      </c>
      <c r="J134" s="36">
        <v>4.0</v>
      </c>
      <c r="K134" s="37" t="s">
        <v>149</v>
      </c>
      <c r="L134" s="35"/>
      <c r="M134" s="38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>
      <c r="A135" s="55">
        <v>46090.0</v>
      </c>
      <c r="B135" s="56" t="s">
        <v>142</v>
      </c>
      <c r="C135" s="34" t="s">
        <v>88</v>
      </c>
      <c r="D135" s="35" t="s">
        <v>10</v>
      </c>
      <c r="E135" s="35">
        <v>2.0</v>
      </c>
      <c r="F135" s="35">
        <v>2.0</v>
      </c>
      <c r="G135" s="35">
        <v>5.0</v>
      </c>
      <c r="H135" s="36">
        <v>2.0</v>
      </c>
      <c r="I135" s="36">
        <v>2.0</v>
      </c>
      <c r="J135" s="36">
        <v>3.0</v>
      </c>
      <c r="K135" s="37" t="s">
        <v>150</v>
      </c>
      <c r="L135" s="35"/>
      <c r="M135" s="38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>
      <c r="A136" s="55">
        <v>46090.0</v>
      </c>
      <c r="B136" s="56" t="s">
        <v>142</v>
      </c>
      <c r="C136" s="34" t="s">
        <v>88</v>
      </c>
      <c r="D136" s="35" t="s">
        <v>39</v>
      </c>
      <c r="E136" s="35">
        <v>5.0</v>
      </c>
      <c r="F136" s="35">
        <v>4.0</v>
      </c>
      <c r="G136" s="35">
        <v>3.0</v>
      </c>
      <c r="H136" s="36">
        <v>3.0</v>
      </c>
      <c r="I136" s="36">
        <v>5.0</v>
      </c>
      <c r="J136" s="36">
        <v>3.7</v>
      </c>
      <c r="K136" s="37" t="s">
        <v>151</v>
      </c>
      <c r="L136" s="35"/>
      <c r="M136" s="38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>
      <c r="A137" s="55">
        <v>46090.0</v>
      </c>
      <c r="B137" s="56" t="s">
        <v>142</v>
      </c>
      <c r="C137" s="34" t="s">
        <v>88</v>
      </c>
      <c r="D137" s="35" t="s">
        <v>41</v>
      </c>
      <c r="E137" s="35">
        <v>5.0</v>
      </c>
      <c r="F137" s="35">
        <v>5.0</v>
      </c>
      <c r="G137" s="35">
        <v>5.0</v>
      </c>
      <c r="H137" s="36">
        <v>1.0</v>
      </c>
      <c r="I137" s="36">
        <v>5.0</v>
      </c>
      <c r="J137" s="36">
        <v>3.7</v>
      </c>
      <c r="K137" s="37" t="s">
        <v>152</v>
      </c>
      <c r="L137" s="35"/>
      <c r="M137" s="38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>
      <c r="A138" s="55">
        <v>46090.0</v>
      </c>
      <c r="B138" s="56" t="s">
        <v>142</v>
      </c>
      <c r="C138" s="34" t="s">
        <v>88</v>
      </c>
      <c r="D138" s="35" t="s">
        <v>42</v>
      </c>
      <c r="E138" s="35">
        <v>5.0</v>
      </c>
      <c r="F138" s="35">
        <v>4.0</v>
      </c>
      <c r="G138" s="35">
        <v>3.0</v>
      </c>
      <c r="H138" s="36">
        <v>4.0</v>
      </c>
      <c r="I138" s="36">
        <v>5.0</v>
      </c>
      <c r="J138" s="36">
        <v>4.0</v>
      </c>
      <c r="K138" s="37" t="s">
        <v>153</v>
      </c>
      <c r="L138" s="35"/>
      <c r="M138" s="38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>
      <c r="A139" s="55">
        <v>46090.0</v>
      </c>
      <c r="B139" s="56" t="s">
        <v>142</v>
      </c>
      <c r="C139" s="34" t="s">
        <v>88</v>
      </c>
      <c r="D139" s="35" t="s">
        <v>44</v>
      </c>
      <c r="E139" s="35">
        <v>4.0</v>
      </c>
      <c r="F139" s="35">
        <v>3.0</v>
      </c>
      <c r="G139" s="35">
        <v>5.0</v>
      </c>
      <c r="H139" s="36">
        <v>2.0</v>
      </c>
      <c r="I139" s="36">
        <v>2.0</v>
      </c>
      <c r="J139" s="36">
        <v>3.7</v>
      </c>
      <c r="K139" s="37" t="s">
        <v>154</v>
      </c>
      <c r="L139" s="35"/>
      <c r="M139" s="38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>
      <c r="A140" s="55">
        <v>46090.0</v>
      </c>
      <c r="B140" s="56" t="s">
        <v>142</v>
      </c>
      <c r="C140" s="34" t="s">
        <v>88</v>
      </c>
      <c r="D140" s="35" t="s">
        <v>46</v>
      </c>
      <c r="E140" s="35">
        <v>5.0</v>
      </c>
      <c r="F140" s="35">
        <v>5.0</v>
      </c>
      <c r="G140" s="35">
        <v>2.0</v>
      </c>
      <c r="H140" s="36">
        <v>2.0</v>
      </c>
      <c r="I140" s="36">
        <v>2.0</v>
      </c>
      <c r="J140" s="36">
        <v>3.0</v>
      </c>
      <c r="K140" s="37" t="s">
        <v>155</v>
      </c>
      <c r="L140" s="35"/>
      <c r="M140" s="38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>
      <c r="A141" s="55">
        <v>46090.0</v>
      </c>
      <c r="B141" s="56" t="s">
        <v>142</v>
      </c>
      <c r="C141" s="34" t="s">
        <v>156</v>
      </c>
      <c r="D141" s="35" t="s">
        <v>12</v>
      </c>
      <c r="E141" s="35">
        <v>5.0</v>
      </c>
      <c r="F141" s="35">
        <v>4.0</v>
      </c>
      <c r="G141" s="35">
        <v>3.0</v>
      </c>
      <c r="H141" s="36">
        <v>3.0</v>
      </c>
      <c r="I141" s="36">
        <v>5.0</v>
      </c>
      <c r="J141" s="36">
        <v>3.7</v>
      </c>
      <c r="K141" s="37" t="s">
        <v>157</v>
      </c>
      <c r="L141" s="35"/>
      <c r="M141" s="38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>
      <c r="A142" s="55">
        <v>46090.0</v>
      </c>
      <c r="B142" s="56" t="s">
        <v>142</v>
      </c>
      <c r="C142" s="34" t="s">
        <v>156</v>
      </c>
      <c r="D142" s="35" t="s">
        <v>36</v>
      </c>
      <c r="E142" s="35">
        <v>5.0</v>
      </c>
      <c r="F142" s="35">
        <v>5.0</v>
      </c>
      <c r="G142" s="35">
        <v>5.0</v>
      </c>
      <c r="H142" s="36">
        <v>5.0</v>
      </c>
      <c r="I142" s="36">
        <v>4.0</v>
      </c>
      <c r="J142" s="36">
        <v>5.0</v>
      </c>
      <c r="K142" s="37"/>
      <c r="L142" s="35"/>
      <c r="M142" s="38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>
      <c r="A143" s="55">
        <v>46090.0</v>
      </c>
      <c r="B143" s="56" t="s">
        <v>142</v>
      </c>
      <c r="C143" s="34" t="s">
        <v>156</v>
      </c>
      <c r="D143" s="35" t="s">
        <v>11</v>
      </c>
      <c r="E143" s="35">
        <v>5.0</v>
      </c>
      <c r="F143" s="35">
        <v>5.0</v>
      </c>
      <c r="G143" s="35">
        <v>4.0</v>
      </c>
      <c r="H143" s="36">
        <v>1.0</v>
      </c>
      <c r="I143" s="36">
        <v>3.0</v>
      </c>
      <c r="J143" s="36">
        <v>3.3</v>
      </c>
      <c r="K143" s="37" t="s">
        <v>158</v>
      </c>
      <c r="L143" s="35"/>
      <c r="M143" s="38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>
      <c r="A144" s="55">
        <v>46090.0</v>
      </c>
      <c r="B144" s="56" t="s">
        <v>142</v>
      </c>
      <c r="C144" s="34" t="s">
        <v>156</v>
      </c>
      <c r="D144" s="35" t="s">
        <v>10</v>
      </c>
      <c r="E144" s="35">
        <v>2.0</v>
      </c>
      <c r="F144" s="35">
        <v>2.0</v>
      </c>
      <c r="G144" s="35">
        <v>4.0</v>
      </c>
      <c r="H144" s="36">
        <v>5.0</v>
      </c>
      <c r="I144" s="36">
        <v>4.0</v>
      </c>
      <c r="J144" s="36">
        <v>3.7</v>
      </c>
      <c r="K144" s="37" t="s">
        <v>159</v>
      </c>
      <c r="L144" s="35"/>
      <c r="M144" s="38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>
      <c r="A145" s="55">
        <v>46090.0</v>
      </c>
      <c r="B145" s="56" t="s">
        <v>142</v>
      </c>
      <c r="C145" s="34" t="s">
        <v>156</v>
      </c>
      <c r="D145" s="35" t="s">
        <v>39</v>
      </c>
      <c r="E145" s="35">
        <v>5.0</v>
      </c>
      <c r="F145" s="35">
        <v>5.0</v>
      </c>
      <c r="G145" s="35">
        <v>3.0</v>
      </c>
      <c r="H145" s="36">
        <v>3.0</v>
      </c>
      <c r="I145" s="36">
        <v>5.0</v>
      </c>
      <c r="J145" s="36">
        <v>3.7</v>
      </c>
      <c r="K145" s="37" t="s">
        <v>160</v>
      </c>
      <c r="L145" s="35"/>
      <c r="M145" s="38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>
      <c r="A146" s="55">
        <v>46090.0</v>
      </c>
      <c r="B146" s="56" t="s">
        <v>142</v>
      </c>
      <c r="C146" s="34" t="s">
        <v>156</v>
      </c>
      <c r="D146" s="35" t="s">
        <v>41</v>
      </c>
      <c r="E146" s="35">
        <v>5.0</v>
      </c>
      <c r="F146" s="35">
        <v>3.0</v>
      </c>
      <c r="G146" s="35">
        <v>5.0</v>
      </c>
      <c r="H146" s="36">
        <v>1.0</v>
      </c>
      <c r="I146" s="36">
        <v>5.0</v>
      </c>
      <c r="J146" s="36">
        <v>3.7</v>
      </c>
      <c r="K146" s="37" t="s">
        <v>161</v>
      </c>
      <c r="L146" s="35"/>
      <c r="M146" s="38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>
      <c r="A147" s="55">
        <v>46090.0</v>
      </c>
      <c r="B147" s="56" t="s">
        <v>142</v>
      </c>
      <c r="C147" s="34" t="s">
        <v>156</v>
      </c>
      <c r="D147" s="35" t="s">
        <v>42</v>
      </c>
      <c r="E147" s="35">
        <v>5.0</v>
      </c>
      <c r="F147" s="35">
        <v>4.0</v>
      </c>
      <c r="G147" s="35">
        <v>4.0</v>
      </c>
      <c r="H147" s="36">
        <v>4.0</v>
      </c>
      <c r="I147" s="36">
        <v>5.0</v>
      </c>
      <c r="J147" s="36">
        <v>4.3</v>
      </c>
      <c r="K147" s="37" t="s">
        <v>109</v>
      </c>
      <c r="L147" s="35"/>
      <c r="M147" s="38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>
      <c r="A148" s="55">
        <v>46090.0</v>
      </c>
      <c r="B148" s="56" t="s">
        <v>142</v>
      </c>
      <c r="C148" s="34" t="s">
        <v>156</v>
      </c>
      <c r="D148" s="35" t="s">
        <v>44</v>
      </c>
      <c r="E148" s="35">
        <v>2.0</v>
      </c>
      <c r="F148" s="35">
        <v>4.0</v>
      </c>
      <c r="G148" s="35">
        <v>3.0</v>
      </c>
      <c r="H148" s="36">
        <v>4.0</v>
      </c>
      <c r="I148" s="36">
        <v>2.0</v>
      </c>
      <c r="J148" s="36">
        <v>3.0</v>
      </c>
      <c r="K148" s="37" t="s">
        <v>162</v>
      </c>
      <c r="L148" s="35"/>
      <c r="M148" s="38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>
      <c r="A149" s="55">
        <v>46090.0</v>
      </c>
      <c r="B149" s="56" t="s">
        <v>142</v>
      </c>
      <c r="C149" s="34" t="s">
        <v>156</v>
      </c>
      <c r="D149" s="35" t="s">
        <v>46</v>
      </c>
      <c r="E149" s="35">
        <v>4.0</v>
      </c>
      <c r="F149" s="35">
        <v>5.0</v>
      </c>
      <c r="G149" s="35">
        <v>5.0</v>
      </c>
      <c r="H149" s="36">
        <v>3.0</v>
      </c>
      <c r="I149" s="36">
        <v>5.0</v>
      </c>
      <c r="J149" s="36">
        <v>4.0</v>
      </c>
      <c r="K149" s="37" t="s">
        <v>163</v>
      </c>
      <c r="L149" s="35"/>
      <c r="M149" s="38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>
      <c r="A150" s="55">
        <v>46090.0</v>
      </c>
      <c r="B150" s="56" t="s">
        <v>142</v>
      </c>
      <c r="C150" s="34" t="s">
        <v>164</v>
      </c>
      <c r="D150" s="35" t="s">
        <v>12</v>
      </c>
      <c r="E150" s="35">
        <v>1.0</v>
      </c>
      <c r="F150" s="35">
        <v>1.0</v>
      </c>
      <c r="G150" s="35">
        <v>1.0</v>
      </c>
      <c r="H150" s="36">
        <v>1.0</v>
      </c>
      <c r="I150" s="36">
        <v>1.0</v>
      </c>
      <c r="J150" s="36">
        <v>1.0</v>
      </c>
      <c r="K150" s="37" t="s">
        <v>165</v>
      </c>
      <c r="L150" s="35"/>
      <c r="M150" s="38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>
      <c r="A151" s="55">
        <v>46090.0</v>
      </c>
      <c r="B151" s="56" t="s">
        <v>142</v>
      </c>
      <c r="C151" s="34" t="s">
        <v>164</v>
      </c>
      <c r="D151" s="35" t="s">
        <v>36</v>
      </c>
      <c r="E151" s="35">
        <v>4.0</v>
      </c>
      <c r="F151" s="35">
        <v>1.0</v>
      </c>
      <c r="G151" s="35">
        <v>3.0</v>
      </c>
      <c r="H151" s="36">
        <v>1.0</v>
      </c>
      <c r="I151" s="36">
        <v>1.0</v>
      </c>
      <c r="J151" s="36">
        <v>2.7</v>
      </c>
      <c r="K151" s="37" t="s">
        <v>166</v>
      </c>
      <c r="L151" s="35"/>
      <c r="M151" s="38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>
      <c r="A152" s="55">
        <v>46090.0</v>
      </c>
      <c r="B152" s="56" t="s">
        <v>142</v>
      </c>
      <c r="C152" s="34" t="s">
        <v>164</v>
      </c>
      <c r="D152" s="35" t="s">
        <v>11</v>
      </c>
      <c r="E152" s="35">
        <v>1.0</v>
      </c>
      <c r="F152" s="35">
        <v>1.0</v>
      </c>
      <c r="G152" s="35">
        <v>1.0</v>
      </c>
      <c r="H152" s="36">
        <v>1.0</v>
      </c>
      <c r="I152" s="36">
        <v>1.0</v>
      </c>
      <c r="J152" s="36">
        <v>1.0</v>
      </c>
      <c r="K152" s="37" t="s">
        <v>167</v>
      </c>
      <c r="L152" s="35"/>
      <c r="M152" s="38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>
      <c r="A153" s="55">
        <v>46090.0</v>
      </c>
      <c r="B153" s="56" t="s">
        <v>142</v>
      </c>
      <c r="C153" s="34" t="s">
        <v>164</v>
      </c>
      <c r="D153" s="35" t="s">
        <v>10</v>
      </c>
      <c r="E153" s="35">
        <v>1.0</v>
      </c>
      <c r="F153" s="35">
        <v>1.0</v>
      </c>
      <c r="G153" s="35">
        <v>1.0</v>
      </c>
      <c r="H153" s="36">
        <v>1.0</v>
      </c>
      <c r="I153" s="36">
        <v>1.0</v>
      </c>
      <c r="J153" s="36">
        <v>1.0</v>
      </c>
      <c r="K153" s="37" t="s">
        <v>168</v>
      </c>
      <c r="L153" s="35"/>
      <c r="M153" s="38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>
      <c r="A154" s="55">
        <v>46090.0</v>
      </c>
      <c r="B154" s="56" t="s">
        <v>142</v>
      </c>
      <c r="C154" s="34" t="s">
        <v>164</v>
      </c>
      <c r="D154" s="35" t="s">
        <v>39</v>
      </c>
      <c r="E154" s="35">
        <v>1.0</v>
      </c>
      <c r="F154" s="35">
        <v>1.0</v>
      </c>
      <c r="G154" s="35">
        <v>1.0</v>
      </c>
      <c r="H154" s="36">
        <v>1.0</v>
      </c>
      <c r="I154" s="36">
        <v>1.0</v>
      </c>
      <c r="J154" s="36">
        <v>1.0</v>
      </c>
      <c r="K154" s="37" t="s">
        <v>169</v>
      </c>
      <c r="L154" s="35"/>
      <c r="M154" s="38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>
      <c r="A155" s="55">
        <v>46090.0</v>
      </c>
      <c r="B155" s="56" t="s">
        <v>142</v>
      </c>
      <c r="C155" s="34" t="s">
        <v>164</v>
      </c>
      <c r="D155" s="35" t="s">
        <v>41</v>
      </c>
      <c r="E155" s="35">
        <v>1.0</v>
      </c>
      <c r="F155" s="35">
        <v>2.0</v>
      </c>
      <c r="G155" s="35">
        <v>1.0</v>
      </c>
      <c r="H155" s="36">
        <v>2.0</v>
      </c>
      <c r="I155" s="36">
        <v>1.0</v>
      </c>
      <c r="J155" s="36">
        <v>1.3</v>
      </c>
      <c r="K155" s="37" t="s">
        <v>170</v>
      </c>
      <c r="L155" s="35"/>
      <c r="M155" s="38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>
      <c r="A156" s="55">
        <v>46090.0</v>
      </c>
      <c r="B156" s="56" t="s">
        <v>142</v>
      </c>
      <c r="C156" s="34" t="s">
        <v>164</v>
      </c>
      <c r="D156" s="35" t="s">
        <v>42</v>
      </c>
      <c r="E156" s="35">
        <v>1.0</v>
      </c>
      <c r="F156" s="35">
        <v>1.0</v>
      </c>
      <c r="G156" s="35">
        <v>1.0</v>
      </c>
      <c r="H156" s="36">
        <v>1.0</v>
      </c>
      <c r="I156" s="36">
        <v>1.0</v>
      </c>
      <c r="J156" s="36">
        <v>1.0</v>
      </c>
      <c r="K156" s="37" t="s">
        <v>171</v>
      </c>
      <c r="L156" s="35"/>
      <c r="M156" s="38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>
      <c r="A157" s="55">
        <v>46090.0</v>
      </c>
      <c r="B157" s="56" t="s">
        <v>142</v>
      </c>
      <c r="C157" s="34" t="s">
        <v>164</v>
      </c>
      <c r="D157" s="35" t="s">
        <v>44</v>
      </c>
      <c r="E157" s="35">
        <v>1.0</v>
      </c>
      <c r="F157" s="35">
        <v>1.0</v>
      </c>
      <c r="G157" s="35">
        <v>1.0</v>
      </c>
      <c r="H157" s="36">
        <v>1.0</v>
      </c>
      <c r="I157" s="36">
        <v>1.0</v>
      </c>
      <c r="J157" s="36">
        <v>1.0</v>
      </c>
      <c r="K157" s="37" t="s">
        <v>172</v>
      </c>
      <c r="L157" s="35"/>
      <c r="M157" s="38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>
      <c r="A158" s="55">
        <v>46090.0</v>
      </c>
      <c r="B158" s="56" t="s">
        <v>142</v>
      </c>
      <c r="C158" s="34" t="s">
        <v>164</v>
      </c>
      <c r="D158" s="35" t="s">
        <v>46</v>
      </c>
      <c r="E158" s="35">
        <v>1.0</v>
      </c>
      <c r="F158" s="35">
        <v>1.0</v>
      </c>
      <c r="G158" s="35">
        <v>1.0</v>
      </c>
      <c r="H158" s="36">
        <v>1.0</v>
      </c>
      <c r="I158" s="36">
        <v>1.0</v>
      </c>
      <c r="J158" s="36">
        <v>1.0</v>
      </c>
      <c r="K158" s="37" t="s">
        <v>168</v>
      </c>
      <c r="L158" s="35"/>
      <c r="M158" s="38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</sheetData>
  <conditionalFormatting sqref="J2:J158">
    <cfRule type="colorScale" priority="1">
      <colorScale>
        <cfvo type="formula" val="1"/>
        <cfvo type="formula" val="3"/>
        <cfvo type="formula" val="5"/>
        <color rgb="FFE06666"/>
        <color rgb="FFFFD966"/>
        <color rgb="FF34A853"/>
      </colorScale>
    </cfRule>
  </conditionalFormatting>
  <dataValidations>
    <dataValidation type="list" allowBlank="1" showErrorMessage="1" sqref="K2:K158">
      <formula1>"Bad-3D,Missing-Labels,Bad-Labels,Interaction-Broken,Interaction-Missing,Interaction-Unintuitive,Interaction-OOB,Initial-View-Wrong,Original-Mismatch,Hallucination,Concept-Misunderstanding,Rendering-Failure"</formula1>
    </dataValidation>
    <dataValidation type="list" allowBlank="1" showErrorMessage="1" sqref="E2:I158">
      <formula1>"1,2,3,4,5"</formula1>
    </dataValidation>
  </dataValidations>
  <drawing r:id="rId1"/>
  <tableParts count="1">
    <tablePart r:id="rId3"/>
  </tableParts>
</worksheet>
</file>